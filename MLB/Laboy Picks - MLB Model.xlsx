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8380" tabRatio="600" firstSheet="0" activeTab="1" autoFilterDateGrouping="1"/>
  </bookViews>
  <sheets>
    <sheet xmlns:r="http://schemas.openxmlformats.org/officeDocument/2006/relationships" name="MLB Lines" sheetId="1" state="visible" r:id="rId1"/>
    <sheet xmlns:r="http://schemas.openxmlformats.org/officeDocument/2006/relationships" name="MLB Data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mm/dd/yyyy"/>
    <numFmt numFmtId="166" formatCode="MM/DD/YYYY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i val="1"/>
      <color theme="0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Arial"/>
      <family val="2"/>
      <b val="1"/>
      <color rgb="FF1F1F1F"/>
      <sz val="11"/>
    </font>
    <font>
      <name val="Calibri"/>
      <family val="2"/>
      <color rgb="FF000000"/>
      <sz val="11"/>
      <scheme val="minor"/>
    </font>
    <font>
      <name val="Segoe UI"/>
      <family val="2"/>
      <color rgb="FF000000"/>
      <sz val="9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Segoe UI"/>
      <family val="2"/>
      <b val="1"/>
      <color rgb="FFFFFFFF"/>
      <sz val="9"/>
    </font>
    <font>
      <name val="Segoe UI"/>
      <family val="2"/>
      <b val="1"/>
      <color rgb="FF000000"/>
      <sz val="9"/>
    </font>
  </fonts>
  <fills count="24">
    <fill>
      <patternFill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7" tint="-0.249977111117893"/>
        <bgColor theme="7" tint="-0.249977111117893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8"/>
        <bgColor theme="0" tint="-0.3499862666707358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thick">
        <color rgb="FF333333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medium">
        <color theme="0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6" fillId="0" borderId="0"/>
  </cellStyleXfs>
  <cellXfs count="8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4" fontId="1" fillId="0" borderId="0" pivotButton="0" quotePrefix="0" xfId="0"/>
    <xf numFmtId="2" fontId="4" fillId="0" borderId="0" pivotButton="0" quotePrefix="0" xfId="0"/>
    <xf numFmtId="164" fontId="1" fillId="2" borderId="0" pivotButton="0" quotePrefix="0" xfId="0"/>
    <xf numFmtId="0" fontId="1" fillId="2" borderId="0" pivotButton="0" quotePrefix="0" xfId="0"/>
    <xf numFmtId="2" fontId="1" fillId="2" borderId="0" pivotButton="0" quotePrefix="0" xfId="0"/>
    <xf numFmtId="0" fontId="5" fillId="0" borderId="1" pivotButton="0" quotePrefix="0" xfId="0"/>
    <xf numFmtId="0" fontId="5" fillId="0" borderId="2" pivotButton="0" quotePrefix="0" xfId="0"/>
    <xf numFmtId="0" fontId="5" fillId="0" borderId="3" pivotButton="0" quotePrefix="0" xfId="0"/>
    <xf numFmtId="0" fontId="5" fillId="0" borderId="4" pivotButton="0" quotePrefix="0" xfId="0"/>
    <xf numFmtId="16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2" fontId="6" fillId="0" borderId="0" pivotButton="0" quotePrefix="0" xfId="0"/>
    <xf numFmtId="164" fontId="7" fillId="0" borderId="0" pivotButton="0" quotePrefix="0" xfId="0"/>
    <xf numFmtId="2" fontId="7" fillId="0" borderId="0" pivotButton="0" quotePrefix="0" xfId="0"/>
    <xf numFmtId="0" fontId="7" fillId="3" borderId="0" pivotButton="0" quotePrefix="0" xfId="0"/>
    <xf numFmtId="0" fontId="6" fillId="4" borderId="0" pivotButton="0" quotePrefix="0" xfId="0"/>
    <xf numFmtId="0" fontId="7" fillId="4" borderId="0" pivotButton="0" quotePrefix="0" xfId="0"/>
    <xf numFmtId="0" fontId="6" fillId="5" borderId="0" pivotButton="0" quotePrefix="0" xfId="0"/>
    <xf numFmtId="0" fontId="7" fillId="5" borderId="0" pivotButton="0" quotePrefix="0" xfId="0"/>
    <xf numFmtId="0" fontId="6" fillId="6" borderId="0" pivotButton="0" quotePrefix="0" xfId="0"/>
    <xf numFmtId="0" fontId="7" fillId="6" borderId="0" pivotButton="0" quotePrefix="0" xfId="0"/>
    <xf numFmtId="0" fontId="6" fillId="7" borderId="0" pivotButton="0" quotePrefix="0" xfId="0"/>
    <xf numFmtId="0" fontId="7" fillId="7" borderId="0" pivotButton="0" quotePrefix="0" xfId="0"/>
    <xf numFmtId="0" fontId="7" fillId="8" borderId="0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7" fillId="10" borderId="0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7" fillId="8" borderId="0" pivotButton="0" quotePrefix="0" xfId="0"/>
    <xf numFmtId="0" fontId="7" fillId="9" borderId="0" pivotButton="0" quotePrefix="0" xfId="0"/>
    <xf numFmtId="0" fontId="6" fillId="0" borderId="0" applyAlignment="1" pivotButton="0" quotePrefix="0" xfId="0">
      <alignment horizontal="center"/>
    </xf>
    <xf numFmtId="0" fontId="6" fillId="11" borderId="0" pivotButton="0" quotePrefix="0" xfId="0"/>
    <xf numFmtId="0" fontId="6" fillId="11" borderId="0" applyAlignment="1" pivotButton="0" quotePrefix="0" xfId="0">
      <alignment horizontal="center"/>
    </xf>
    <xf numFmtId="0" fontId="7" fillId="11" borderId="0" pivotButton="0" quotePrefix="0" xfId="0"/>
    <xf numFmtId="0" fontId="9" fillId="0" borderId="0" applyAlignment="1" pivotButton="0" quotePrefix="0" xfId="0">
      <alignment horizontal="left" vertical="center" wrapText="1" indent="1" readingOrder="1"/>
    </xf>
    <xf numFmtId="0" fontId="9" fillId="0" borderId="0" applyAlignment="1" pivotButton="0" quotePrefix="0" xfId="0">
      <alignment vertical="center" wrapText="1" readingOrder="1"/>
    </xf>
    <xf numFmtId="0" fontId="10" fillId="0" borderId="0" pivotButton="0" quotePrefix="0" xfId="0"/>
    <xf numFmtId="165" fontId="6" fillId="0" borderId="0" pivotButton="0" quotePrefix="0" xfId="0"/>
    <xf numFmtId="9" fontId="6" fillId="0" borderId="0" pivotButton="0" quotePrefix="0" xfId="0"/>
    <xf numFmtId="0" fontId="11" fillId="15" borderId="6" applyAlignment="1" pivotButton="0" quotePrefix="0" xfId="0">
      <alignment vertical="center"/>
    </xf>
    <xf numFmtId="0" fontId="12" fillId="16" borderId="6" applyAlignment="1" pivotButton="0" quotePrefix="0" xfId="0">
      <alignment horizontal="left" vertical="center"/>
    </xf>
    <xf numFmtId="0" fontId="11" fillId="15" borderId="6" applyAlignment="1" pivotButton="0" quotePrefix="0" xfId="0">
      <alignment horizontal="right" vertical="center"/>
    </xf>
    <xf numFmtId="0" fontId="11" fillId="15" borderId="7" applyAlignment="1" pivotButton="0" quotePrefix="0" xfId="0">
      <alignment horizontal="right" vertical="center"/>
    </xf>
    <xf numFmtId="10" fontId="11" fillId="15" borderId="6" applyAlignment="1" pivotButton="0" quotePrefix="0" xfId="0">
      <alignment horizontal="right" vertical="center"/>
    </xf>
    <xf numFmtId="0" fontId="8" fillId="0" borderId="8" pivotButton="0" quotePrefix="0" xfId="0"/>
    <xf numFmtId="0" fontId="13" fillId="2" borderId="9" pivotButton="0" quotePrefix="0" xfId="0"/>
    <xf numFmtId="2" fontId="13" fillId="2" borderId="9" pivotButton="0" quotePrefix="0" xfId="0"/>
    <xf numFmtId="2" fontId="13" fillId="0" borderId="0" pivotButton="0" quotePrefix="0" xfId="0"/>
    <xf numFmtId="0" fontId="8" fillId="17" borderId="8" pivotButton="0" quotePrefix="0" xfId="0"/>
    <xf numFmtId="164" fontId="13" fillId="18" borderId="0" pivotButton="0" quotePrefix="0" xfId="0"/>
    <xf numFmtId="2" fontId="13" fillId="19" borderId="0" pivotButton="0" quotePrefix="0" xfId="0"/>
    <xf numFmtId="0" fontId="14" fillId="18" borderId="0" pivotButton="0" quotePrefix="0" xfId="0"/>
    <xf numFmtId="2" fontId="14" fillId="19" borderId="0" pivotButton="0" quotePrefix="0" xfId="0"/>
    <xf numFmtId="2" fontId="14" fillId="0" borderId="0" pivotButton="0" quotePrefix="0" xfId="0"/>
    <xf numFmtId="0" fontId="14" fillId="20" borderId="0" pivotButton="0" quotePrefix="0" xfId="0"/>
    <xf numFmtId="2" fontId="14" fillId="21" borderId="0" pivotButton="0" quotePrefix="0" xfId="0"/>
    <xf numFmtId="0" fontId="8" fillId="0" borderId="10" pivotButton="0" quotePrefix="0" xfId="0"/>
    <xf numFmtId="0" fontId="6" fillId="22" borderId="1" pivotButton="0" quotePrefix="0" xfId="0"/>
    <xf numFmtId="0" fontId="6" fillId="22" borderId="2" pivotButton="0" quotePrefix="0" xfId="0"/>
    <xf numFmtId="0" fontId="8" fillId="0" borderId="11" pivotButton="0" quotePrefix="0" xfId="0"/>
    <xf numFmtId="10" fontId="6" fillId="0" borderId="0" pivotButton="0" quotePrefix="0" xfId="0"/>
    <xf numFmtId="0" fontId="6" fillId="23" borderId="0" pivotButton="0" quotePrefix="0" xfId="0"/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right" vertical="center" wrapText="1"/>
    </xf>
    <xf numFmtId="0" fontId="11" fillId="0" borderId="6" applyAlignment="1" pivotButton="0" quotePrefix="0" xfId="0">
      <alignment vertical="center"/>
    </xf>
    <xf numFmtId="0" fontId="12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horizontal="right" vertical="center"/>
    </xf>
    <xf numFmtId="165" fontId="0" fillId="0" borderId="0" pivotButton="0" quotePrefix="0" xfId="0"/>
    <xf numFmtId="0" fontId="1" fillId="14" borderId="5" applyAlignment="1" pivotButton="0" quotePrefix="0" xfId="0">
      <alignment horizontal="center"/>
    </xf>
    <xf numFmtId="0" fontId="0" fillId="0" borderId="3" pivotButton="0" quotePrefix="0" xfId="0"/>
    <xf numFmtId="0" fontId="1" fillId="13" borderId="5" applyAlignment="1" pivotButton="0" quotePrefix="0" xfId="0">
      <alignment horizontal="center"/>
    </xf>
    <xf numFmtId="0" fontId="0" fillId="0" borderId="2" pivotButton="0" quotePrefix="0" xfId="0"/>
    <xf numFmtId="0" fontId="1" fillId="12" borderId="5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166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5"/>
  <sheetViews>
    <sheetView topLeftCell="A17" workbookViewId="0">
      <selection activeCell="A1" sqref="A1"/>
    </sheetView>
  </sheetViews>
  <sheetFormatPr baseColWidth="10" defaultColWidth="8.83203125" defaultRowHeight="15"/>
  <cols>
    <col width="11.33203125" customWidth="1" min="1" max="1"/>
    <col width="11.83203125" customWidth="1" min="2" max="2"/>
    <col width="10" customWidth="1" min="3" max="3"/>
    <col width="16" customWidth="1" min="4" max="4"/>
    <col width="9.5" customWidth="1" min="5" max="5"/>
    <col width="13.33203125" customWidth="1" min="6" max="6"/>
    <col width="11.33203125" customWidth="1" min="7" max="7"/>
    <col width="11.83203125" customWidth="1" min="8" max="8"/>
    <col width="10.1640625" customWidth="1" min="9" max="9"/>
    <col width="12.5" customWidth="1" min="10" max="10"/>
    <col width="9.5" customWidth="1" min="11" max="11"/>
    <col width="13" customWidth="1" min="12" max="12"/>
    <col width="12.5" customWidth="1" min="13" max="13"/>
    <col width="2.33203125" customWidth="1" min="14" max="14"/>
    <col width="6" customWidth="1" min="15" max="15"/>
    <col width="6.5" customWidth="1" min="17" max="17"/>
    <col width="2.5" customWidth="1" min="18" max="18"/>
    <col width="11.83203125" customWidth="1" min="19" max="19"/>
    <col width="6.33203125" customWidth="1" min="20" max="20"/>
    <col width="6.5" customWidth="1" min="21" max="21"/>
    <col width="3.5" customWidth="1" min="22" max="22"/>
    <col width="4.83203125" customWidth="1" min="23" max="23"/>
    <col width="1.83203125" customWidth="1" min="24" max="24"/>
    <col width="21" customWidth="1" min="25" max="25"/>
    <col width="11.6640625" customWidth="1" min="26" max="26"/>
    <col width="7.6640625" customWidth="1" min="28" max="28"/>
    <col width="10.1640625" customWidth="1" min="29" max="29"/>
    <col width="13" customWidth="1" min="30" max="30"/>
    <col width="11.83203125" customWidth="1" min="31" max="31"/>
    <col width="16" customWidth="1" min="32" max="32"/>
    <col width="10.33203125" customWidth="1" min="33" max="33"/>
    <col width="6" customWidth="1" min="34" max="34"/>
  </cols>
  <sheetData>
    <row r="1" ht="20" customHeight="1">
      <c r="A1" s="1" t="inlineStr">
        <is>
          <t>FECHA</t>
        </is>
      </c>
      <c r="B1" s="1" t="inlineStr">
        <is>
          <t>TEAM A</t>
        </is>
      </c>
      <c r="C1" s="1" t="inlineStr">
        <is>
          <t>wRCa</t>
        </is>
      </c>
      <c r="D1" s="2" t="inlineStr">
        <is>
          <t>SP</t>
        </is>
      </c>
      <c r="E1" s="3" t="inlineStr">
        <is>
          <t>FIPa</t>
        </is>
      </c>
      <c r="F1" s="3" t="inlineStr">
        <is>
          <t>BP  xFIPa</t>
        </is>
      </c>
      <c r="G1" s="4" t="inlineStr">
        <is>
          <t>xFIPtot</t>
        </is>
      </c>
      <c r="H1" s="1" t="inlineStr">
        <is>
          <t>TEAM B</t>
        </is>
      </c>
      <c r="I1" s="1" t="inlineStr">
        <is>
          <t>wRCb</t>
        </is>
      </c>
      <c r="J1" s="2" t="inlineStr">
        <is>
          <t>SP2</t>
        </is>
      </c>
      <c r="K1" s="3" t="inlineStr">
        <is>
          <t>FIPb</t>
        </is>
      </c>
      <c r="L1" s="5" t="inlineStr">
        <is>
          <t>BP xFIPb</t>
        </is>
      </c>
      <c r="M1" s="6" t="inlineStr">
        <is>
          <t>xFIPtot2</t>
        </is>
      </c>
      <c r="O1" s="7" t="inlineStr">
        <is>
          <t>tA</t>
        </is>
      </c>
      <c r="P1" s="7" t="inlineStr">
        <is>
          <t>tB</t>
        </is>
      </c>
      <c r="Q1" s="7" t="inlineStr">
        <is>
          <t>TOTAL</t>
        </is>
      </c>
      <c r="S1" s="8" t="inlineStr">
        <is>
          <t>hTeam</t>
        </is>
      </c>
      <c r="T1" s="9" t="inlineStr">
        <is>
          <t>PF</t>
        </is>
      </c>
      <c r="U1" s="8" t="inlineStr">
        <is>
          <t>W</t>
        </is>
      </c>
      <c r="V1" s="8" t="inlineStr">
        <is>
          <t>MPH</t>
        </is>
      </c>
      <c r="W1" s="8" t="inlineStr">
        <is>
          <t>T</t>
        </is>
      </c>
      <c r="Y1" s="10" t="inlineStr">
        <is>
          <t xml:space="preserve">GAME </t>
        </is>
      </c>
      <c r="Z1" s="11" t="inlineStr">
        <is>
          <t>TEAM 1</t>
        </is>
      </c>
      <c r="AA1" s="11" t="inlineStr">
        <is>
          <t>TEAM 2</t>
        </is>
      </c>
      <c r="AB1" s="11" t="inlineStr">
        <is>
          <t>mTotals</t>
        </is>
      </c>
      <c r="AC1" s="11" t="inlineStr">
        <is>
          <t>preTotals</t>
        </is>
      </c>
      <c r="AD1" s="11" t="inlineStr">
        <is>
          <t>spread #</t>
        </is>
      </c>
      <c r="AE1" s="11" t="inlineStr">
        <is>
          <t>team</t>
        </is>
      </c>
      <c r="AF1" s="12" t="inlineStr">
        <is>
          <t>mSpread</t>
        </is>
      </c>
      <c r="AG1" s="13" t="inlineStr">
        <is>
          <t>ML %</t>
        </is>
      </c>
    </row>
    <row r="2">
      <c r="A2" s="14" t="n">
        <v>46106</v>
      </c>
      <c r="B2" s="15" t="inlineStr">
        <is>
          <t>YANKEES</t>
        </is>
      </c>
      <c r="C2">
        <f>VLOOKUP(B2, 'MLB Data'!$B$5:$D$34, 3, FALSE)</f>
        <v/>
      </c>
      <c r="D2" s="16" t="inlineStr">
        <is>
          <t>FRIED</t>
        </is>
      </c>
      <c r="E2" s="17" t="n">
        <v>3.37</v>
      </c>
      <c r="F2" s="17">
        <f>VLOOKUP(B2, 'MLB Data'!$F$2:$H$34, 3, FALSE)</f>
        <v/>
      </c>
      <c r="G2" s="17">
        <f>IF((E2*0.6+F2*0.4)&lt;2.5, 2.8, IF((E2*0.6+F2*0.4)&gt;5.5, 5.2, (E2*0.6+F2*0.4)))</f>
        <v/>
      </c>
      <c r="H2" s="15" t="inlineStr">
        <is>
          <t>GIANTS</t>
        </is>
      </c>
      <c r="I2">
        <f>VLOOKUP(H2, 'MLB Data'!$B$5:$D$34, 3, FALSE)</f>
        <v/>
      </c>
      <c r="J2" s="16" t="inlineStr">
        <is>
          <t>WEBB</t>
        </is>
      </c>
      <c r="K2" t="n">
        <v>3.03</v>
      </c>
      <c r="L2" s="17">
        <f>VLOOKUP(H2, 'MLB Data'!$F$2:$H$34, 3, FALSE)</f>
        <v/>
      </c>
      <c r="M2" s="17">
        <f>IF((K2*0.6+L2*0.4)&lt;2.5, 2.8, IF((K2*0.6+L2*0.4)&gt;5.5, 5.2, (K2*0.6+L2*0.4)))</f>
        <v/>
      </c>
      <c r="O2" s="18">
        <f>(C2/100) * 4.45 * (M2 / 4.2) * T2</f>
        <v/>
      </c>
      <c r="P2" s="18">
        <f>(I2/100) * 4.45 * (G2 / 4.2) * T2</f>
        <v/>
      </c>
      <c r="Q2" s="18">
        <f>(O2+P2)</f>
        <v/>
      </c>
      <c r="S2" s="15">
        <f>H2</f>
        <v/>
      </c>
      <c r="T2" s="19">
        <f>IF(S2="ROCKIES",1.13,IF(S2="ATHLETICS",1.03,IF(S2="ROYALS",1.03,IF(S2="TWINS",1,IF(S2="TIGERS",1,IF(S2="MARLINS",1.01,IF(S2="REDS",1.05,IF(S2="RED SOX",1.04,IF(S2="YANKEES",1.02,IF(S2="DODGERS",0.99,IF(S2="PADRES",0.96,IF(S2="CUBS",0.98,IF(S2="GIANTS",0.97,IF(S2="MARINERS",0.94,IF(S2="RANGERS",1,IF(S2="ASTROS",0.99,IF(S2="BRAVES",1,IF(S2="METS",0.96,IF(S2="PHILLIES",1.02,IF(S2="BLUE JAYS",1.01,IF(S2="ORIOLES",0.99,IF(S2="RAYS",1.01,IF(S2="GUARDIANS",0.99,IF(S2="WHITE SOX",0.98,IF(S2="ANGELS",1.01,IF(S2="D-BACKS",1.01,IF(S2="BREWERS",0.99,IF(S2="CARDINALS",0.96,IF(S2="PIRATES",1.02,IF(S2="NATIONALS",1,1))))))))))))))))))))))))))))))*IF(W2="",1,(1+((W2-70)/10*0.035)))*IF(U2="DOME",1,IF(U2="IN",1-(V2*0.01),IF(U2="OUT",1+(V2*0.01),IF(OR(U2="L-R",U2="R-L"),1+(V2*0.005),1))))</f>
        <v/>
      </c>
      <c r="U2" s="15" t="inlineStr">
        <is>
          <t>OUT</t>
        </is>
      </c>
      <c r="V2" s="15" t="n"/>
      <c r="W2" s="15" t="n">
        <v>75</v>
      </c>
      <c r="Y2">
        <f>B2 &amp; " vs. " &amp; H2</f>
        <v/>
      </c>
      <c r="Z2">
        <f>TRIM(LEFT(Y2, FIND("vs.", Y2)-1))</f>
        <v/>
      </c>
      <c r="AA2">
        <f>TRIM(MID(Y2, FIND(" vs. ", Y2)+4, 100))</f>
        <v/>
      </c>
      <c r="AB2">
        <f>IF(Q2 &gt; VALUE(AC2), "O " &amp; AC2, IF(Q2 &lt; VALUE(AC2), "U " &amp; AC2, AC2))</f>
        <v/>
      </c>
      <c r="AC2" s="15">
        <f>IF(OR(O2="-", P2="-"), "-", MROUND(O2 + P2, 0.5))</f>
        <v/>
      </c>
      <c r="AD2" s="15">
        <f>VALUE(TRIM(RIGHT(AF2, LEN(AF2) - FIND(" ", AF2))))</f>
        <v/>
      </c>
      <c r="AE2" s="15">
        <f>LEFT(AF2,FIND(" ",AF2)-1)</f>
        <v/>
      </c>
      <c r="AF2" s="15">
        <f>IF(OR(O2="-", P2="-"), "-",
    IF(MROUND(ABS(O2-P2),0.5)&lt;=0.5,
        IF(O2&gt;P2, B2 &amp; " ML", H2 &amp; " ML"),
        IF(MROUND(ABS(O2-P2),0.5)=1,
            IF(O2&gt;P2, H2 &amp; " +1.5", B2 &amp; " +1.5"),
            IF(O2&gt;P2, B2 &amp; " -1.5", H2 &amp; " -1.5")
        )
    )
)</f>
        <v/>
      </c>
      <c r="AG2" s="15">
        <f>_xlfn.LET(
    _xlpm.winA, O2^1.83 / (O2^1.83 + P2^1.83),
    _xlpm.winB, 1 - _xlpm.winA,
    _xlpm.oddsA, IF(_xlpm.winA &gt;= 0.5, "-" &amp; ROUND(_xlpm.winA / (1 - _xlpm.winA) * 100, 0), "+" &amp; ROUND((1 - _xlpm.winA) / _xlpm.winA * 100, 0)),
    _xlpm.oddsB, IF(_xlpm.winB &gt;= 0.5, "-" &amp; ROUND(_xlpm.winB / (1 - _xlpm.winB) * 100, 0), "+" &amp; ROUND((1 - _xlpm.winB) / _xlpm.winB * 100, 0)),
    _xlpm.oddsA &amp; " / " &amp; _xlpm.oddsB
)</f>
        <v/>
      </c>
    </row>
    <row r="3">
      <c r="A3" s="14" t="n">
        <v>46107</v>
      </c>
      <c r="B3" s="15" t="inlineStr">
        <is>
          <t>PIRATES</t>
        </is>
      </c>
      <c r="C3">
        <f>VLOOKUP(B3, 'MLB Data'!$B$5:$D$34, 3, FALSE)</f>
        <v/>
      </c>
      <c r="D3" s="16" t="inlineStr">
        <is>
          <t>SKENES</t>
        </is>
      </c>
      <c r="E3" s="17" t="n">
        <v>3.03</v>
      </c>
      <c r="F3" s="17">
        <f>VLOOKUP(B3, 'MLB Data'!$F$2:$H$34, 3, FALSE)</f>
        <v/>
      </c>
      <c r="G3" s="17">
        <f>IF((E3*0.6+F3*0.4)&lt;2.5, 2.8, IF((E3*0.6+F3*0.4)&gt;5.5, 5.2, (E3*0.6+F3*0.4)))</f>
        <v/>
      </c>
      <c r="H3" s="15" t="inlineStr">
        <is>
          <t>METS</t>
        </is>
      </c>
      <c r="I3">
        <f>VLOOKUP(H3, 'MLB Data'!$B$5:$D$34, 3, FALSE)</f>
        <v/>
      </c>
      <c r="J3" s="16" t="inlineStr">
        <is>
          <t>PERALTA</t>
        </is>
      </c>
      <c r="K3" t="n">
        <v>3.85</v>
      </c>
      <c r="L3" s="17">
        <f>VLOOKUP(H3, 'MLB Data'!$F$2:$H$34, 3, FALSE)</f>
        <v/>
      </c>
      <c r="M3" s="17">
        <f>IF((K3*0.6+L3*0.4)&lt;2.5, 2.8, IF((K3*0.6+L3*0.4)&gt;5.5, 5.2, (K3*0.6+L3*0.4)))</f>
        <v/>
      </c>
      <c r="O3" s="18">
        <f>(C3/100) * 4.45 * (M3 / 4.2) * T3</f>
        <v/>
      </c>
      <c r="P3" s="18">
        <f>(I3/100) * 4.45 * (G3 / 4.2) * T3</f>
        <v/>
      </c>
      <c r="Q3" s="18">
        <f>(O3+P3)</f>
        <v/>
      </c>
      <c r="S3" s="15">
        <f>H3</f>
        <v/>
      </c>
      <c r="T3" s="19">
        <f>IF(S3="ROCKIES",1.13,IF(S3="ATHLETICS",1.03,IF(S3="ROYALS",1.03,IF(S3="TWINS",1,IF(S3="TIGERS",1,IF(S3="MARLINS",1.01,IF(S3="REDS",1.05,IF(S3="RED SOX",1.04,IF(S3="YANKEES",1.02,IF(S3="DODGERS",0.99,IF(S3="PADRES",0.96,IF(S3="CUBS",0.98,IF(S3="GIANTS",0.97,IF(S3="MARINERS",0.94,IF(S3="RANGERS",1,IF(S3="ASTROS",0.99,IF(S3="BRAVES",1,IF(S3="METS",0.96,IF(S3="PHILLIES",1.02,IF(S3="BLUE JAYS",1.01,IF(S3="ORIOLES",0.99,IF(S3="RAYS",1.01,IF(S3="GUARDIANS",0.99,IF(S3="WHITE SOX",0.98,IF(S3="ANGELS",1.01,IF(S3="D-BACKS",1.01,IF(S3="BREWERS",0.99,IF(S3="CARDINALS",0.96,IF(S3="PIRATES",1.02,IF(S3="NATIONALS",1,1))))))))))))))))))))))))))))))*IF(W3="",1,(1+((W3-70)/10*0.035)))*IF(U3="DOME",1,IF(U3="IN",1-(V3*0.01),IF(U3="OUT",1+(V3*0.01),IF(OR(U3="L-R",U3="R-L"),1+(V3*0.005),1))))</f>
        <v/>
      </c>
      <c r="U3" s="15" t="inlineStr">
        <is>
          <t>OUT</t>
        </is>
      </c>
      <c r="V3" s="15" t="n"/>
      <c r="W3" s="15" t="n">
        <v>66</v>
      </c>
      <c r="Y3">
        <f>B3 &amp; " vs. " &amp; H3</f>
        <v/>
      </c>
      <c r="Z3">
        <f>TRIM(LEFT(Y3, FIND("vs.", Y3)-1))</f>
        <v/>
      </c>
      <c r="AA3">
        <f>TRIM(MID(Y3, FIND(" vs. ", Y3)+4, 100))</f>
        <v/>
      </c>
      <c r="AB3">
        <f>IF(Q3 &gt; VALUE(AC3), "O " &amp; AC3, IF(Q3 &lt; VALUE(AC3), "U " &amp; AC3, AC3))</f>
        <v/>
      </c>
      <c r="AC3" s="15">
        <f>IF(OR(O3="-", P3="-"), "-", MROUND(O3 + P3, 0.5))</f>
        <v/>
      </c>
      <c r="AD3" s="15">
        <f>VALUE(TRIM(RIGHT(AF3, LEN(AF3) - FIND(" ", AF3))))</f>
        <v/>
      </c>
      <c r="AE3" s="15">
        <f>LEFT(AF3,FIND(" ",AF3)-1)</f>
        <v/>
      </c>
      <c r="AF3" s="15">
        <f>IF(OR(O3="-", P3="-"), "-",
IF(MROUND(ABS(O3-P3),0.5)&lt;=0.5,
IF(O3&gt;P3, B3 &amp; " ML", H3 &amp; " ML"),
IF(MROUND(ABS(O3-P3),0.5)=1,
IF(O3&gt;P3, H3 &amp; " +1.5", B3 &amp; " +1.5"),
IF(O3&gt;P3, B3 &amp; " -1.5", H3 &amp; " -1.5")
)
)
)</f>
        <v/>
      </c>
      <c r="AG3" s="15">
        <f>_xlfn.LET(
_xlpm.winA, O3^1.83 / (O3^1.83 + P3^1.83),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" ht="16" customHeight="1">
      <c r="A4" s="14" t="n">
        <v>46107</v>
      </c>
      <c r="B4" s="15" t="inlineStr">
        <is>
          <t>WHITE SOX</t>
        </is>
      </c>
      <c r="C4">
        <f>VLOOKUP(B4, 'MLB Data'!$B$5:$D$34, 3, FALSE)</f>
        <v/>
      </c>
      <c r="D4" s="16" t="inlineStr">
        <is>
          <t>SMITH</t>
        </is>
      </c>
      <c r="E4" s="17" t="n">
        <v>4.23</v>
      </c>
      <c r="F4" s="17">
        <f>VLOOKUP(B4, 'MLB Data'!$F$2:$H$34, 3, FALSE)</f>
        <v/>
      </c>
      <c r="G4" s="17">
        <f>IF((E4*0.6+F4*0.4)&lt;2.5, 2.8, IF((E4*0.6+F4*0.4)&gt;5.5, 5.2, (E4*0.6+F4*0.4)))</f>
        <v/>
      </c>
      <c r="H4" s="15" t="inlineStr">
        <is>
          <t>BREWERS</t>
        </is>
      </c>
      <c r="I4">
        <f>VLOOKUP(H4, 'MLB Data'!$B$5:$D$34, 3, FALSE)</f>
        <v/>
      </c>
      <c r="J4" s="16" t="inlineStr">
        <is>
          <t>MISIOROWSKI</t>
        </is>
      </c>
      <c r="K4" t="n">
        <v>3.56</v>
      </c>
      <c r="L4" s="17">
        <f>VLOOKUP(H4, 'MLB Data'!$F$2:$H$34, 3, FALSE)</f>
        <v/>
      </c>
      <c r="M4" s="17">
        <f>IF((K4*0.6+L4*0.4)&lt;2.5, 2.8, IF((K4*0.6+L4*0.4)&gt;5.5, 5.2, (K4*0.6+L4*0.4)))</f>
        <v/>
      </c>
      <c r="O4" s="18">
        <f>(C4/100) * 4.45 * (M4 / 4.2) * T4</f>
        <v/>
      </c>
      <c r="P4" s="18">
        <f>(I4/100) * 4.45 * (G4 / 4.2) * T4</f>
        <v/>
      </c>
      <c r="Q4" s="18">
        <f>(O4+P4)</f>
        <v/>
      </c>
      <c r="S4" s="15">
        <f>H4</f>
        <v/>
      </c>
      <c r="T4" s="19">
        <f>IF(S4="ROCKIES",1.13,IF(S4="ATHLETICS",1.03,IF(S4="ROYALS",1.03,IF(S4="TWINS",1,IF(S4="TIGERS",1,IF(S4="MARLINS",1.01,IF(S4="REDS",1.05,IF(S4="RED SOX",1.04,IF(S4="YANKEES",1.02,IF(S4="DODGERS",0.99,IF(S4="PADRES",0.96,IF(S4="CUBS",0.98,IF(S4="GIANTS",0.97,IF(S4="MARINERS",0.94,IF(S4="RANGERS",1,IF(S4="ASTROS",0.99,IF(S4="BRAVES",1,IF(S4="METS",0.96,IF(S4="PHILLIES",1.02,IF(S4="BLUE JAYS",1.01,IF(S4="ORIOLES",0.99,IF(S4="RAYS",1.01,IF(S4="GUARDIANS",0.99,IF(S4="WHITE SOX",0.98,IF(S4="ANGELS",1.01,IF(S4="D-BACKS",1.01,IF(S4="BREWERS",0.99,IF(S4="CARDINALS",0.96,IF(S4="PIRATES",1.02,IF(S4="NATIONALS",1,1))))))))))))))))))))))))))))))*IF(W4="",1,(1+((W4-70)/10*0.035)))*IF(U4="DOME",1,IF(U4="IN",1-(V4*0.01),IF(U4="OUT",1+(V4*0.01),IF(OR(U4="L-R",U4="R-L"),1+(V4*0.005),1))))</f>
        <v/>
      </c>
      <c r="U4" s="15" t="inlineStr">
        <is>
          <t>OUT</t>
        </is>
      </c>
      <c r="V4" s="15" t="n"/>
      <c r="W4" s="15" t="n">
        <v>56</v>
      </c>
      <c r="Y4">
        <f>B4 &amp; " vs. " &amp; H4</f>
        <v/>
      </c>
      <c r="Z4">
        <f>TRIM(LEFT(Y4, FIND("vs.", Y4)-1))</f>
        <v/>
      </c>
      <c r="AA4">
        <f>TRIM(MID(Y4, FIND(" vs. ", Y4)+4, 100))</f>
        <v/>
      </c>
      <c r="AB4">
        <f>IF(Q4 &gt; VALUE(AC4), "O " &amp; AC4, IF(Q4 &lt; VALUE(AC4), "U " &amp; AC4, AC4))</f>
        <v/>
      </c>
      <c r="AC4" s="15">
        <f>IF(OR(O4="-", P4="-"), "-", MROUND(O4 + P4, 0.5))</f>
        <v/>
      </c>
      <c r="AD4" s="15">
        <f>VALUE(TRIM(RIGHT(AF4, LEN(AF4) - FIND(" ", AF4))))</f>
        <v/>
      </c>
      <c r="AE4" s="15">
        <f>LEFT(AF4,FIND(" ",AF4)-1)</f>
        <v/>
      </c>
      <c r="AF4" s="15">
        <f>IF(OR(O4="-", P4="-"), "-",
IF(MROUND(ABS(O4-P4),0.5)&lt;=0.5,
IF(O4&gt;P4, B4 &amp; " ML", H4 &amp; " ML"),
IF(MROUND(ABS(O4-P4),0.5)=1,
IF(O4&gt;P4, H4 &amp; " +1.5", B4 &amp; " +1.5"),
IF(O4&gt;P4, B4 &amp; " -1.5", H4 &amp; " -1.5")
)
)
)</f>
        <v/>
      </c>
      <c r="AG4" s="15">
        <f>_xlfn.LET(
_xlpm.winA, O4^1.83 / (O4^1.83 + P4^1.83),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5">
      <c r="A5" s="14" t="n">
        <v>46107</v>
      </c>
      <c r="B5" s="15" t="inlineStr">
        <is>
          <t>NATIONALS</t>
        </is>
      </c>
      <c r="C5">
        <f>VLOOKUP(B5, 'MLB Data'!$B$5:$D$34, 3, FALSE)</f>
        <v/>
      </c>
      <c r="D5" s="16" t="inlineStr">
        <is>
          <t>CAVALLI</t>
        </is>
      </c>
      <c r="E5" s="17" t="n">
        <v>3.93</v>
      </c>
      <c r="F5" s="17">
        <f>VLOOKUP(B5, 'MLB Data'!$F$2:$H$34, 3, FALSE)</f>
        <v/>
      </c>
      <c r="G5" s="17">
        <f>IF((E5*0.6+F5*0.4)&lt;2.5, 2.8, IF((E5*0.6+F5*0.4)&gt;5.5, 5.2, (E5*0.6+F5*0.4)))</f>
        <v/>
      </c>
      <c r="H5" s="15" t="inlineStr">
        <is>
          <t>CUBS</t>
        </is>
      </c>
      <c r="I5">
        <f>VLOOKUP(H5, 'MLB Data'!$B$5:$D$34, 3, FALSE)</f>
        <v/>
      </c>
      <c r="J5" s="16" t="inlineStr">
        <is>
          <t>BOYD</t>
        </is>
      </c>
      <c r="K5" t="n">
        <v>4.22</v>
      </c>
      <c r="L5" s="17">
        <f>VLOOKUP(H5, 'MLB Data'!$F$2:$H$34, 3, FALSE)</f>
        <v/>
      </c>
      <c r="M5" s="17">
        <f>IF((K5*0.6+L5*0.4)&lt;2.5, 2.8, IF((K5*0.6+L5*0.4)&gt;5.5, 5.2, (K5*0.6+L5*0.4)))</f>
        <v/>
      </c>
      <c r="O5" s="18">
        <f>(C5/100) * 4.45 * (M5 / 4.2) * T5</f>
        <v/>
      </c>
      <c r="P5" s="18">
        <f>(I5/100) * 4.45 * (G5 / 4.2) * T5</f>
        <v/>
      </c>
      <c r="Q5" s="18">
        <f>(O5+P5)</f>
        <v/>
      </c>
      <c r="S5" s="15">
        <f>H5</f>
        <v/>
      </c>
      <c r="T5" s="19">
        <f>IF(S5="ROCKIES",1.13,IF(S5="ATHLETICS",1.03,IF(S5="ROYALS",1.03,IF(S5="TWINS",1,IF(S5="TIGERS",1,IF(S5="MARLINS",1.01,IF(S5="REDS",1.05,IF(S5="RED SOX",1.04,IF(S5="YANKEES",1.02,IF(S5="DODGERS",0.99,IF(S5="PADRES",0.96,IF(S5="CUBS",0.98,IF(S5="GIANTS",0.97,IF(S5="MARINERS",0.94,IF(S5="RANGERS",1,IF(S5="ASTROS",0.99,IF(S5="BRAVES",1,IF(S5="METS",0.96,IF(S5="PHILLIES",1.02,IF(S5="BLUE JAYS",1.01,IF(S5="ORIOLES",0.99,IF(S5="RAYS",1.01,IF(S5="GUARDIANS",0.99,IF(S5="WHITE SOX",0.98,IF(S5="ANGELS",1.01,IF(S5="D-BACKS",1.01,IF(S5="BREWERS",0.99,IF(S5="CARDINALS",0.96,IF(S5="PIRATES",1.02,IF(S5="NATIONALS",1,1))))))))))))))))))))))))))))))*IF(W5="",1,(1+((W5-70)/10*0.035)))*IF(U5="DOME",1,IF(U5="IN",1-(V5*0.01),IF(U5="OUT",1+(V5*0.01),IF(OR(U5="L-R",U5="R-L"),1+(V5*0.005),1))))</f>
        <v/>
      </c>
      <c r="U5" s="15" t="inlineStr">
        <is>
          <t>IN</t>
        </is>
      </c>
      <c r="V5" s="15" t="n"/>
      <c r="W5" s="15" t="n">
        <v>57</v>
      </c>
      <c r="Y5">
        <f>B5 &amp; " vs. " &amp; H5</f>
        <v/>
      </c>
      <c r="Z5">
        <f>TRIM(LEFT(Y5, FIND("vs.", Y5)-1))</f>
        <v/>
      </c>
      <c r="AA5">
        <f>TRIM(MID(Y5, FIND(" vs. ", Y5)+4, 100))</f>
        <v/>
      </c>
      <c r="AB5">
        <f>IF(Q5 &gt; VALUE(AC5), "O " &amp; AC5, IF(Q5 &lt; VALUE(AC5), "U " &amp; AC5, AC5))</f>
        <v/>
      </c>
      <c r="AC5" s="15">
        <f>IF(OR(O5="-", P5="-"), "-", MROUND(O5 + P5, 0.5))</f>
        <v/>
      </c>
      <c r="AD5" s="15">
        <f>VALUE(TRIM(RIGHT(AF5, LEN(AF5) - FIND(" ", AF5))))</f>
        <v/>
      </c>
      <c r="AE5" s="15">
        <f>LEFT(AF5,FIND(" ",AF5)-1)</f>
        <v/>
      </c>
      <c r="AF5" s="15">
        <f>IF(OR(O5="-", P5="-"), "-",
IF(MROUND(ABS(O5-P5),0.5)&lt;=0.5,
IF(O5&gt;P5, B5 &amp; " ML", H5 &amp; " ML"),
IF(MROUND(ABS(O5-P5),0.5)=1,
IF(O5&gt;P5, H5 &amp; " +1.5", B5 &amp; " +1.5"),
IF(O5&gt;P5, B5 &amp; " -1.5", H5 &amp; " -1.5")
)
)
)</f>
        <v/>
      </c>
      <c r="AG5" s="15">
        <f>_xlfn.LET(
_xlpm.winA, O5^1.83 / (O5^1.83 + P5^1.83),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  <c r="AH5" t="inlineStr">
        <is>
          <t xml:space="preserve"> </t>
        </is>
      </c>
    </row>
    <row r="6">
      <c r="A6" s="14" t="n">
        <v>46107</v>
      </c>
      <c r="B6" s="15" t="inlineStr">
        <is>
          <t>TWINS</t>
        </is>
      </c>
      <c r="C6">
        <f>VLOOKUP(B6, 'MLB Data'!$B$5:$D$34, 3, FALSE)</f>
        <v/>
      </c>
      <c r="D6" s="16" t="inlineStr">
        <is>
          <t>RYAN</t>
        </is>
      </c>
      <c r="E6" s="17" t="n">
        <v>3.66</v>
      </c>
      <c r="F6" s="17">
        <f>VLOOKUP(B6, 'MLB Data'!$F$2:$H$34, 3, FALSE)</f>
        <v/>
      </c>
      <c r="G6" s="17">
        <f>IF((E6*0.6+F6*0.4)&lt;2.5, 2.8, IF((E6*0.6+F6*0.4)&gt;5.5, 5.2, (E6*0.6+F6*0.4)))</f>
        <v/>
      </c>
      <c r="H6" s="15" t="inlineStr">
        <is>
          <t>ORIOLES</t>
        </is>
      </c>
      <c r="I6">
        <f>VLOOKUP(H6, 'MLB Data'!$B$5:$D$34, 3, FALSE)</f>
        <v/>
      </c>
      <c r="J6" s="16" t="inlineStr">
        <is>
          <t>ROGERS</t>
        </is>
      </c>
      <c r="K6" t="n">
        <v>3.64</v>
      </c>
      <c r="L6" s="17">
        <f>VLOOKUP(H6, 'MLB Data'!$F$2:$H$34, 3, FALSE)</f>
        <v/>
      </c>
      <c r="M6" s="17">
        <f>IF((K6*0.6+L6*0.4)&lt;2.5, 2.8, IF((K6*0.6+L6*0.4)&gt;5.5, 5.2, (K6*0.6+L6*0.4)))</f>
        <v/>
      </c>
      <c r="O6" s="18">
        <f>(C6/100) * 4.45 * (M6 / 4.2) * T6</f>
        <v/>
      </c>
      <c r="P6" s="18">
        <f>(I6/100) * 4.45 * (G6 / 4.2) * T6</f>
        <v/>
      </c>
      <c r="Q6" s="18">
        <f>(O6+P6)</f>
        <v/>
      </c>
      <c r="S6" s="15">
        <f>H6</f>
        <v/>
      </c>
      <c r="T6" s="19">
        <f>IF(S6="ROCKIES",1.13,IF(S6="ATHLETICS",1.03,IF(S6="ROYALS",1.03,IF(S6="TWINS",1,IF(S6="TIGERS",1,IF(S6="MARLINS",1.01,IF(S6="REDS",1.05,IF(S6="RED SOX",1.04,IF(S6="YANKEES",1.02,IF(S6="DODGERS",0.99,IF(S6="PADRES",0.96,IF(S6="CUBS",0.98,IF(S6="GIANTS",0.97,IF(S6="MARINERS",0.94,IF(S6="RANGERS",1,IF(S6="ASTROS",0.99,IF(S6="BRAVES",1,IF(S6="METS",0.96,IF(S6="PHILLIES",1.02,IF(S6="BLUE JAYS",1.01,IF(S6="ORIOLES",0.99,IF(S6="RAYS",1.01,IF(S6="GUARDIANS",0.99,IF(S6="WHITE SOX",0.98,IF(S6="ANGELS",1.01,IF(S6="D-BACKS",1.01,IF(S6="BREWERS",0.99,IF(S6="CARDINALS",0.96,IF(S6="PIRATES",1.02,IF(S6="NATIONALS",1,1))))))))))))))))))))))))))))))*IF(W6="",1,(1+((W6-70)/10*0.035)))*IF(U6="DOME",1,IF(U6="IN",1-(V6*0.01),IF(U6="OUT",1+(V6*0.01),IF(OR(U6="L-R",U6="R-L"),1+(V6*0.005),1))))</f>
        <v/>
      </c>
      <c r="U6" s="15" t="inlineStr">
        <is>
          <t>OUT</t>
        </is>
      </c>
      <c r="V6" s="15" t="n"/>
      <c r="W6" s="15" t="n">
        <v>78</v>
      </c>
      <c r="Y6">
        <f>B6 &amp; " vs. " &amp; H6</f>
        <v/>
      </c>
      <c r="Z6">
        <f>TRIM(LEFT(Y6, FIND("vs.", Y6)-1))</f>
        <v/>
      </c>
      <c r="AA6">
        <f>TRIM(MID(Y6, FIND(" vs. ", Y6)+4, 100))</f>
        <v/>
      </c>
      <c r="AB6">
        <f>IF(Q6 &gt; VALUE(AC6), "O " &amp; AC6, IF(Q6 &lt; VALUE(AC6), "U " &amp; AC6, AC6))</f>
        <v/>
      </c>
      <c r="AC6" s="15">
        <f>IF(OR(O6="-", P6="-"), "-", MROUND(O6 + P6, 0.5))</f>
        <v/>
      </c>
      <c r="AD6" s="15">
        <f>VALUE(TRIM(RIGHT(AF6, LEN(AF6) - FIND(" ", AF6))))</f>
        <v/>
      </c>
      <c r="AE6" s="15">
        <f>LEFT(AF6,FIND(" ",AF6)-1)</f>
        <v/>
      </c>
      <c r="AF6" s="15">
        <f>IF(OR(O6="-", P6="-"), "-",
IF(MROUND(ABS(O6-P6),0.5)&lt;=0.5,
IF(O6&gt;P6, B6 &amp; " ML", H6 &amp; " ML"),
IF(MROUND(ABS(O6-P6),0.5)=1,
IF(O6&gt;P6, H6 &amp; " +1.5", B6 &amp; " +1.5"),
IF(O6&gt;P6, B6 &amp; " -1.5", H6 &amp; " -1.5")
)
)
)</f>
        <v/>
      </c>
      <c r="AG6" s="15">
        <f>_xlfn.LET(
_xlpm.winA, O6^1.83 / (O6^1.83 + P6^1.83),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7">
      <c r="A7" s="14" t="n">
        <v>46107</v>
      </c>
      <c r="B7" s="15" t="inlineStr">
        <is>
          <t>RED SOX</t>
        </is>
      </c>
      <c r="C7">
        <f>VLOOKUP(B7, 'MLB Data'!$B$5:$D$34, 3, FALSE)</f>
        <v/>
      </c>
      <c r="D7" s="16" t="inlineStr">
        <is>
          <t>CROCHET</t>
        </is>
      </c>
      <c r="E7" s="17" t="n">
        <v>2.64</v>
      </c>
      <c r="F7" s="17">
        <f>VLOOKUP(B7, 'MLB Data'!$F$2:$H$34, 3, FALSE)</f>
        <v/>
      </c>
      <c r="G7" s="17">
        <f>IF((E7*0.6+F7*0.4)&lt;2.5, 2.8, IF((E7*0.6+F7*0.4)&gt;5.5, 5.2, (E7*0.6+F7*0.4)))</f>
        <v/>
      </c>
      <c r="H7" s="15" t="inlineStr">
        <is>
          <t>REDS</t>
        </is>
      </c>
      <c r="I7">
        <f>VLOOKUP(H7, 'MLB Data'!$B$5:$D$34, 3, FALSE)</f>
        <v/>
      </c>
      <c r="J7" s="16" t="inlineStr">
        <is>
          <t>ABBOTT</t>
        </is>
      </c>
      <c r="K7" t="n">
        <v>4.31</v>
      </c>
      <c r="L7" s="17">
        <f>VLOOKUP(H7, 'MLB Data'!$F$2:$H$34, 3, FALSE)</f>
        <v/>
      </c>
      <c r="M7" s="17">
        <f>IF((K7*0.6+L7*0.4)&lt;2.5, 2.8, IF((K7*0.6+L7*0.4)&gt;5.5, 5.2, (K7*0.6+L7*0.4)))</f>
        <v/>
      </c>
      <c r="O7" s="18">
        <f>(C7/100) * 4.45 * (M7 / 4.2) * T7</f>
        <v/>
      </c>
      <c r="P7" s="18">
        <f>(I7/100) * 4.45 * (G7 / 4.2) * T7</f>
        <v/>
      </c>
      <c r="Q7" s="18">
        <f>(O7+P7)</f>
        <v/>
      </c>
      <c r="S7" s="15">
        <f>H7</f>
        <v/>
      </c>
      <c r="T7" s="19">
        <f>IF(S7="ROCKIES",1.13,IF(S7="ATHLETICS",1.03,IF(S7="ROYALS",1.03,IF(S7="TWINS",1,IF(S7="TIGERS",1,IF(S7="MARLINS",1.01,IF(S7="REDS",1.05,IF(S7="RED SOX",1.04,IF(S7="YANKEES",1.02,IF(S7="DODGERS",0.99,IF(S7="PADRES",0.96,IF(S7="CUBS",0.98,IF(S7="GIANTS",0.97,IF(S7="MARINERS",0.94,IF(S7="RANGERS",1,IF(S7="ASTROS",0.99,IF(S7="BRAVES",1,IF(S7="METS",0.96,IF(S7="PHILLIES",1.02,IF(S7="BLUE JAYS",1.01,IF(S7="ORIOLES",0.99,IF(S7="RAYS",1.01,IF(S7="GUARDIANS",0.99,IF(S7="WHITE SOX",0.98,IF(S7="ANGELS",1.01,IF(S7="D-BACKS",1.01,IF(S7="BREWERS",0.99,IF(S7="CARDINALS",0.96,IF(S7="PIRATES",1.02,IF(S7="NATIONALS",1,1))))))))))))))))))))))))))))))*IF(W7="",1,(1+((W7-70)/10*0.035)))*IF(U7="DOME",1,IF(U7="IN",1-(V7*0.01),IF(U7="OUT",1+(V7*0.01),IF(OR(U7="L-R",U7="R-L"),1+(V7*0.005),1))))</f>
        <v/>
      </c>
      <c r="U7" s="15" t="inlineStr">
        <is>
          <t>OUT</t>
        </is>
      </c>
      <c r="V7" s="15" t="n"/>
      <c r="W7" s="15" t="n">
        <v>80</v>
      </c>
      <c r="Y7">
        <f>B7 &amp; " vs. " &amp; H7</f>
        <v/>
      </c>
      <c r="Z7">
        <f>TRIM(LEFT(Y7, FIND("vs.", Y7)-1))</f>
        <v/>
      </c>
      <c r="AA7">
        <f>TRIM(MID(Y7, FIND(" vs. ", Y7)+4, 100))</f>
        <v/>
      </c>
      <c r="AB7">
        <f>IF(Q7 &gt; VALUE(AC7), "O " &amp; AC7, IF(Q7 &lt; VALUE(AC7), "U " &amp; AC7, AC7))</f>
        <v/>
      </c>
      <c r="AC7" s="15">
        <f>IF(OR(O7="-", P7="-"), "-", MROUND(O7 + P7, 0.5))</f>
        <v/>
      </c>
      <c r="AD7" s="15">
        <f>VALUE(TRIM(RIGHT(AF7, LEN(AF7) - FIND(" ", AF7))))</f>
        <v/>
      </c>
      <c r="AE7" s="15">
        <f>LEFT(AF7,FIND(" ",AF7)-1)</f>
        <v/>
      </c>
      <c r="AF7" s="15">
        <f>IF(OR(O7="-", P7="-"), "-",
IF(MROUND(ABS(O7-P7),0.5)&lt;=0.5,
IF(O7&gt;P7, B7 &amp; " ML", H7 &amp; " ML"),
IF(MROUND(ABS(O7-P7),0.5)=1,
IF(O7&gt;P7, H7 &amp; " +1.5", B7 &amp; " +1.5"),
IF(O7&gt;P7, B7 &amp; " -1.5", H7 &amp; " -1.5")
)
)
)</f>
        <v/>
      </c>
      <c r="AG7" s="15">
        <f>_xlfn.LET(
_xlpm.winA, O7^1.83 / (O7^1.83 + P7^1.83),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8">
      <c r="A8" s="14" t="n">
        <v>46107</v>
      </c>
      <c r="B8" s="15" t="inlineStr">
        <is>
          <t>ANGELS</t>
        </is>
      </c>
      <c r="C8">
        <f>VLOOKUP(B8, 'MLB Data'!$B$5:$D$34, 3, FALSE)</f>
        <v/>
      </c>
      <c r="D8" s="16" t="inlineStr">
        <is>
          <t>SORIANO</t>
        </is>
      </c>
      <c r="E8" s="17" t="n">
        <v>3.54</v>
      </c>
      <c r="F8" s="17">
        <f>VLOOKUP(B8, 'MLB Data'!$F$2:$H$34, 3, FALSE)</f>
        <v/>
      </c>
      <c r="G8" s="17">
        <f>IF((E8*0.6+F8*0.4)&lt;2.5, 2.8, IF((E8*0.6+F8*0.4)&gt;5.5, 5.2, (E8*0.6+F8*0.4)))</f>
        <v/>
      </c>
      <c r="H8" s="15" t="inlineStr">
        <is>
          <t>ASTROS</t>
        </is>
      </c>
      <c r="I8">
        <f>VLOOKUP(H8, 'MLB Data'!$B$5:$D$34, 3, FALSE)</f>
        <v/>
      </c>
      <c r="J8" s="16" t="inlineStr">
        <is>
          <t>BROWN</t>
        </is>
      </c>
      <c r="K8" t="n">
        <v>3.19</v>
      </c>
      <c r="L8" s="17">
        <f>VLOOKUP(H8, 'MLB Data'!$F$2:$H$34, 3, FALSE)</f>
        <v/>
      </c>
      <c r="M8" s="17">
        <f>IF((K8*0.6+L8*0.4)&lt;2.5, 2.8, IF((K8*0.6+L8*0.4)&gt;5.5, 5.2, (K8*0.6+L8*0.4)))</f>
        <v/>
      </c>
      <c r="O8" s="18">
        <f>(C8/100) * 4.45 * (M8 / 4.2) * T8</f>
        <v/>
      </c>
      <c r="P8" s="18">
        <f>(I8/100) * 4.45 * (G8 / 4.2) * T8</f>
        <v/>
      </c>
      <c r="Q8" s="18">
        <f>(O8+P8)</f>
        <v/>
      </c>
      <c r="S8" s="15">
        <f>H8</f>
        <v/>
      </c>
      <c r="T8" s="19">
        <f>IF(S8="ROCKIES",1.13,IF(S8="ATHLETICS",1.03,IF(S8="ROYALS",1.03,IF(S8="TWINS",1,IF(S8="TIGERS",1,IF(S8="MARLINS",1.01,IF(S8="REDS",1.05,IF(S8="RED SOX",1.04,IF(S8="YANKEES",1.02,IF(S8="DODGERS",0.99,IF(S8="PADRES",0.96,IF(S8="CUBS",0.98,IF(S8="GIANTS",0.97,IF(S8="MARINERS",0.94,IF(S8="RANGERS",1,IF(S8="ASTROS",0.99,IF(S8="BRAVES",1,IF(S8="METS",0.96,IF(S8="PHILLIES",1.02,IF(S8="BLUE JAYS",1.01,IF(S8="ORIOLES",0.99,IF(S8="RAYS",1.01,IF(S8="GUARDIANS",0.99,IF(S8="WHITE SOX",0.98,IF(S8="ANGELS",1.01,IF(S8="D-BACKS",1.01,IF(S8="BREWERS",0.99,IF(S8="CARDINALS",0.96,IF(S8="PIRATES",1.02,IF(S8="NATIONALS",1,1))))))))))))))))))))))))))))))*IF(W8="",1,(1+((W8-70)/10*0.035)))*IF(U8="DOME",1,IF(U8="IN",1-(V8*0.01),IF(U8="OUT",1+(V8*0.01),IF(OR(U8="L-R",U8="R-L"),1+(V8*0.005),1))))</f>
        <v/>
      </c>
      <c r="U8" s="15" t="inlineStr">
        <is>
          <t>OUT</t>
        </is>
      </c>
      <c r="V8" s="15" t="n"/>
      <c r="W8" s="15" t="n">
        <v>85</v>
      </c>
      <c r="Y8">
        <f>B8 &amp; " vs. " &amp; H8</f>
        <v/>
      </c>
      <c r="Z8">
        <f>TRIM(LEFT(Y8, FIND("vs.", Y8)-1))</f>
        <v/>
      </c>
      <c r="AA8">
        <f>TRIM(MID(Y8, FIND(" vs. ", Y8)+4, 100))</f>
        <v/>
      </c>
      <c r="AB8">
        <f>IF(Q8 &gt; VALUE(AC8), "O " &amp; AC8, IF(Q8 &lt; VALUE(AC8), "U " &amp; AC8, AC8))</f>
        <v/>
      </c>
      <c r="AC8" s="15">
        <f>IF(OR(O8="-", P8="-"), "-", MROUND(O8 + P8, 0.5))</f>
        <v/>
      </c>
      <c r="AD8" s="15">
        <f>VALUE(TRIM(RIGHT(AF8, LEN(AF8) - FIND(" ", AF8))))</f>
        <v/>
      </c>
      <c r="AE8" s="15">
        <f>LEFT(AF8,FIND(" ",AF8)-1)</f>
        <v/>
      </c>
      <c r="AF8" s="15">
        <f>IF(OR(O8="-", P8="-"), "-",
IF(MROUND(ABS(O8-P8),0.5)&lt;=0.5,
IF(O8&gt;P8, B8 &amp; " ML", H8 &amp; " ML"),
IF(MROUND(ABS(O8-P8),0.5)=1,
IF(O8&gt;P8, H8 &amp; " +1.5", B8 &amp; " +1.5"),
IF(O8&gt;P8, B8 &amp; " -1.5", H8 &amp; " -1.5")
)
)
)</f>
        <v/>
      </c>
      <c r="AG8" s="15">
        <f>_xlfn.LET(
_xlpm.winA, O8^1.83 / (O8^1.83 + P8^1.83),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9">
      <c r="A9" s="14" t="n">
        <v>46107</v>
      </c>
      <c r="B9" s="15" t="inlineStr">
        <is>
          <t>TIGERS</t>
        </is>
      </c>
      <c r="C9">
        <f>VLOOKUP(B9, 'MLB Data'!$B$5:$D$34, 3, FALSE)</f>
        <v/>
      </c>
      <c r="D9" s="16" t="inlineStr">
        <is>
          <t>SKUBAL</t>
        </is>
      </c>
      <c r="E9" s="17" t="n">
        <v>2.66</v>
      </c>
      <c r="F9" s="17">
        <f>VLOOKUP(B9, 'MLB Data'!$F$2:$H$34, 3, FALSE)</f>
        <v/>
      </c>
      <c r="G9" s="17">
        <f>IF((E9*0.6+F9*0.4)&lt;2.5, 2.8, IF((E9*0.6+F9*0.4)&gt;5.5, 5.2, (E9*0.6+F9*0.4)))</f>
        <v/>
      </c>
      <c r="H9" s="15" t="inlineStr">
        <is>
          <t>PADRES</t>
        </is>
      </c>
      <c r="I9">
        <f>VLOOKUP(H9, 'MLB Data'!$B$5:$D$34, 3, FALSE)</f>
        <v/>
      </c>
      <c r="J9" s="16" t="inlineStr">
        <is>
          <t>PIVETTA</t>
        </is>
      </c>
      <c r="K9" t="n">
        <v>3.85</v>
      </c>
      <c r="L9" s="17">
        <f>VLOOKUP(H9, 'MLB Data'!$F$2:$H$34, 3, FALSE)</f>
        <v/>
      </c>
      <c r="M9" s="17">
        <f>IF((K9*0.6+L9*0.4)&lt;2.5, 2.8, IF((K9*0.6+L9*0.4)&gt;5.5, 5.2, (K9*0.6+L9*0.4)))</f>
        <v/>
      </c>
      <c r="O9" s="18">
        <f>(C9/100) * 4.45 * (M9 / 4.2) * T9</f>
        <v/>
      </c>
      <c r="P9" s="18">
        <f>(I9/100) * 4.45 * (G9 / 4.2) * T9</f>
        <v/>
      </c>
      <c r="Q9" s="18">
        <f>(O9+P9)</f>
        <v/>
      </c>
      <c r="S9" s="15">
        <f>H9</f>
        <v/>
      </c>
      <c r="T9" s="19">
        <f>IF(S9="ROCKIES",1.13,IF(S9="ATHLETICS",1.03,IF(S9="ROYALS",1.03,IF(S9="TWINS",1,IF(S9="TIGERS",1,IF(S9="MARLINS",1.01,IF(S9="REDS",1.05,IF(S9="RED SOX",1.04,IF(S9="YANKEES",1.02,IF(S9="DODGERS",0.99,IF(S9="PADRES",0.96,IF(S9="CUBS",0.98,IF(S9="GIANTS",0.97,IF(S9="MARINERS",0.94,IF(S9="RANGERS",1,IF(S9="ASTROS",0.99,IF(S9="BRAVES",1,IF(S9="METS",0.96,IF(S9="PHILLIES",1.02,IF(S9="BLUE JAYS",1.01,IF(S9="ORIOLES",0.99,IF(S9="RAYS",1.01,IF(S9="GUARDIANS",0.99,IF(S9="WHITE SOX",0.98,IF(S9="ANGELS",1.01,IF(S9="D-BACKS",1.01,IF(S9="BREWERS",0.99,IF(S9="CARDINALS",0.96,IF(S9="PIRATES",1.02,IF(S9="NATIONALS",1,1))))))))))))))))))))))))))))))*IF(W9="",1,(1+((W9-70)/10*0.035)))*IF(U9="DOME",1,IF(U9="IN",1-(V9*0.01),IF(U9="OUT",1+(V9*0.01),IF(OR(U9="L-R",U9="R-L"),1+(V9*0.005),1))))</f>
        <v/>
      </c>
      <c r="U9" s="15" t="inlineStr">
        <is>
          <t>OUT</t>
        </is>
      </c>
      <c r="V9" s="15" t="n"/>
      <c r="W9" s="15" t="n">
        <v>78</v>
      </c>
      <c r="Y9">
        <f>B9 &amp; " vs. " &amp; H9</f>
        <v/>
      </c>
      <c r="Z9">
        <f>TRIM(LEFT(Y9, FIND("vs.", Y9)-1))</f>
        <v/>
      </c>
      <c r="AA9">
        <f>TRIM(MID(Y9, FIND(" vs. ", Y9)+4, 100))</f>
        <v/>
      </c>
      <c r="AB9">
        <f>IF(Q9 &gt; VALUE(AC9), "O " &amp; AC9, IF(Q9 &lt; VALUE(AC9), "U " &amp; AC9, AC9))</f>
        <v/>
      </c>
      <c r="AC9" s="15">
        <f>IF(OR(O9="-", P9="-"), "-", MROUND(O9 + P9, 0.5))</f>
        <v/>
      </c>
      <c r="AD9" s="15">
        <f>VALUE(TRIM(RIGHT(AF9, LEN(AF9) - FIND(" ", AF9))))</f>
        <v/>
      </c>
      <c r="AE9" s="15">
        <f>LEFT(AF9,FIND(" ",AF9)-1)</f>
        <v/>
      </c>
      <c r="AF9" s="15">
        <f>IF(OR(O9="-", P9="-"), "-",
IF(MROUND(ABS(O9-P9),0.5)&lt;=0.5,
IF(O9&gt;P9, B9 &amp; " ML", H9 &amp; " ML"),
IF(MROUND(ABS(O9-P9),0.5)=1,
IF(O9&gt;P9, H9 &amp; " +1.5", B9 &amp; " +1.5"),
IF(O9&gt;P9, B9 &amp; " -1.5", H9 &amp; " -1.5")
)
)
)</f>
        <v/>
      </c>
      <c r="AG9" s="15">
        <f>_xlfn.LET(
_xlpm.winA, O9^1.83 / (O9^1.83 + P9^1.83),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0">
      <c r="A10" s="14" t="n">
        <v>46107</v>
      </c>
      <c r="B10" s="15" t="inlineStr">
        <is>
          <t>RAYS</t>
        </is>
      </c>
      <c r="C10">
        <f>VLOOKUP(B10, 'MLB Data'!$B$5:$D$34, 3, FALSE)</f>
        <v/>
      </c>
      <c r="D10" s="16" t="inlineStr">
        <is>
          <t>RASMUSSEN</t>
        </is>
      </c>
      <c r="E10" s="17" t="n">
        <v>3.72</v>
      </c>
      <c r="F10" s="17">
        <f>VLOOKUP(B10, 'MLB Data'!$F$2:$H$34, 3, FALSE)</f>
        <v/>
      </c>
      <c r="G10" s="17">
        <f>IF((E10*0.6+F10*0.4)&lt;2.5, 2.8, IF((E10*0.6+F10*0.4)&gt;5.5, 5.2, (E10*0.6+F10*0.4)))</f>
        <v/>
      </c>
      <c r="H10" s="15" t="inlineStr">
        <is>
          <t>CARDINALS</t>
        </is>
      </c>
      <c r="I10">
        <f>VLOOKUP(H10, 'MLB Data'!$B$5:$D$34, 3, FALSE)</f>
        <v/>
      </c>
      <c r="J10" s="16" t="inlineStr">
        <is>
          <t>LIBERATORE</t>
        </is>
      </c>
      <c r="K10" t="n">
        <v>4.31</v>
      </c>
      <c r="L10" s="17">
        <f>VLOOKUP(H10, 'MLB Data'!$F$2:$H$34, 3, FALSE)</f>
        <v/>
      </c>
      <c r="M10" s="17">
        <f>IF((K10*0.6+L10*0.4)&lt;2.5, 2.8, IF((K10*0.6+L10*0.4)&gt;5.5, 5.2, (K10*0.6+L10*0.4)))</f>
        <v/>
      </c>
      <c r="O10" s="18">
        <f>(C10/100) * 4.45 * (M10 / 4.2) * T10</f>
        <v/>
      </c>
      <c r="P10" s="18">
        <f>(I10/100) * 4.45 * (G10 / 4.2) * T10</f>
        <v/>
      </c>
      <c r="Q10" s="18">
        <f>(O10+P10)</f>
        <v/>
      </c>
      <c r="S10" s="15">
        <f>H10</f>
        <v/>
      </c>
      <c r="T10" s="19">
        <f>IF(S10="ROCKIES",1.13,IF(S10="ATHLETICS",1.03,IF(S10="ROYALS",1.03,IF(S10="TWINS",1,IF(S10="TIGERS",1,IF(S10="MARLINS",1.01,IF(S10="REDS",1.05,IF(S10="RED SOX",1.04,IF(S10="YANKEES",1.02,IF(S10="DODGERS",0.99,IF(S10="PADRES",0.96,IF(S10="CUBS",0.98,IF(S10="GIANTS",0.97,IF(S10="MARINERS",0.94,IF(S10="RANGERS",1,IF(S10="ASTROS",0.99,IF(S10="BRAVES",1,IF(S10="METS",0.96,IF(S10="PHILLIES",1.02,IF(S10="BLUE JAYS",1.01,IF(S10="ORIOLES",0.99,IF(S10="RAYS",1.01,IF(S10="GUARDIANS",0.99,IF(S10="WHITE SOX",0.98,IF(S10="ANGELS",1.01,IF(S10="D-BACKS",1.01,IF(S10="BREWERS",0.99,IF(S10="CARDINALS",0.96,IF(S10="PIRATES",1.02,IF(S10="NATIONALS",1,1))))))))))))))))))))))))))))))*IF(W10="",1,(1+((W10-70)/10*0.035)))*IF(U10="DOME",1,IF(U10="IN",1-(V10*0.01),IF(U10="OUT",1+(V10*0.01),IF(OR(U10="L-R",U10="R-L"),1+(V10*0.005),1))))</f>
        <v/>
      </c>
      <c r="U10" s="15" t="inlineStr">
        <is>
          <t>OUT</t>
        </is>
      </c>
      <c r="V10" s="15" t="n"/>
      <c r="W10" s="15" t="n">
        <v>90</v>
      </c>
      <c r="Y10">
        <f>B10 &amp; " vs. " &amp; H10</f>
        <v/>
      </c>
      <c r="Z10">
        <f>TRIM(LEFT(Y10, FIND("vs.", Y10)-1))</f>
        <v/>
      </c>
      <c r="AA10">
        <f>TRIM(MID(Y10, FIND(" vs. ", Y10)+4, 100))</f>
        <v/>
      </c>
      <c r="AB10">
        <f>IF(Q10 &gt; VALUE(AC10), "O " &amp; AC10, IF(Q10 &lt; VALUE(AC10), "U " &amp; AC10, AC10))</f>
        <v/>
      </c>
      <c r="AC10" s="15">
        <f>IF(OR(O10="-", P10="-"), "-", MROUND(O10 + P10, 0.5))</f>
        <v/>
      </c>
      <c r="AD10" s="15">
        <f>VALUE(TRIM(RIGHT(AF10, LEN(AF10) - FIND(" ", AF10))))</f>
        <v/>
      </c>
      <c r="AE10" s="15">
        <f>LEFT(AF10,FIND(" ",AF10)-1)</f>
        <v/>
      </c>
      <c r="AF10" s="15">
        <f>IF(OR(O10="-", P10="-"), "-",
IF(MROUND(ABS(O10-P10),0.5)&lt;=0.5,
IF(O10&gt;P10, B10 &amp; " ML", H10 &amp; " ML"),
IF(MROUND(ABS(O10-P10),0.5)=1,
IF(O10&gt;P10, H10 &amp; " +1.5", B10 &amp; " +1.5"),
IF(O10&gt;P10, B10 &amp; " -1.5", H10 &amp; " -1.5")
)
)
)</f>
        <v/>
      </c>
      <c r="AG10" s="15">
        <f>_xlfn.LET(
_xlpm.winA, O10^1.83 / (O10^1.83 + P10^1.83),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1">
      <c r="A11" s="14" t="n">
        <v>46107</v>
      </c>
      <c r="B11" s="15" t="inlineStr">
        <is>
          <t>RANGERS</t>
        </is>
      </c>
      <c r="C11">
        <f>VLOOKUP(B11, 'MLB Data'!$B$5:$D$34, 3, FALSE)</f>
        <v/>
      </c>
      <c r="D11" s="16" t="inlineStr">
        <is>
          <t>EOVALDI</t>
        </is>
      </c>
      <c r="E11" s="17" t="n">
        <v>3.03</v>
      </c>
      <c r="F11" s="17">
        <f>VLOOKUP(B11, 'MLB Data'!$F$2:$H$34, 3, FALSE)</f>
        <v/>
      </c>
      <c r="G11" s="17">
        <f>IF((E11*0.6+F11*0.4)&lt;2.5, 2.8, IF((E11*0.6+F11*0.4)&gt;5.5, 5.2, (E11*0.6+F11*0.4)))</f>
        <v/>
      </c>
      <c r="H11" s="15" t="inlineStr">
        <is>
          <t>PHILLIES</t>
        </is>
      </c>
      <c r="I11">
        <f>VLOOKUP(H11, 'MLB Data'!$B$5:$D$34, 3, FALSE)</f>
        <v/>
      </c>
      <c r="J11" s="16" t="inlineStr">
        <is>
          <t>SANCHEZ</t>
        </is>
      </c>
      <c r="K11" t="n">
        <v>2.77</v>
      </c>
      <c r="L11" s="17">
        <f>VLOOKUP(H11, 'MLB Data'!$F$2:$H$34, 3, FALSE)</f>
        <v/>
      </c>
      <c r="M11" s="17">
        <f>IF((K11*0.6+L11*0.4)&lt;2.5, 2.8, IF((K11*0.6+L11*0.4)&gt;5.5, 5.2, (K11*0.6+L11*0.4)))</f>
        <v/>
      </c>
      <c r="O11" s="18">
        <f>(C11/100) * 4.45 * (M11 / 4.2) * T11</f>
        <v/>
      </c>
      <c r="P11" s="18">
        <f>(I11/100) * 4.45 * (G11 / 4.2) * T11</f>
        <v/>
      </c>
      <c r="Q11" s="18">
        <f>(O11+P11)</f>
        <v/>
      </c>
      <c r="S11" s="15">
        <f>H11</f>
        <v/>
      </c>
      <c r="T11" s="19">
        <f>IF(S11="ROCKIES",1.13,IF(S11="ATHLETICS",1.03,IF(S11="ROYALS",1.03,IF(S11="TWINS",1,IF(S11="TIGERS",1,IF(S11="MARLINS",1.01,IF(S11="REDS",1.05,IF(S11="RED SOX",1.04,IF(S11="YANKEES",1.02,IF(S11="DODGERS",0.99,IF(S11="PADRES",0.96,IF(S11="CUBS",0.98,IF(S11="GIANTS",0.97,IF(S11="MARINERS",0.94,IF(S11="RANGERS",1,IF(S11="ASTROS",0.99,IF(S11="BRAVES",1,IF(S11="METS",0.96,IF(S11="PHILLIES",1.02,IF(S11="BLUE JAYS",1.01,IF(S11="ORIOLES",0.99,IF(S11="RAYS",1.01,IF(S11="GUARDIANS",0.99,IF(S11="WHITE SOX",0.98,IF(S11="ANGELS",1.01,IF(S11="D-BACKS",1.01,IF(S11="BREWERS",0.99,IF(S11="CARDINALS",0.96,IF(S11="PIRATES",1.02,IF(S11="NATIONALS",1,1))))))))))))))))))))))))))))))*IF(W11="",1,(1+((W11-70)/10*0.035)))*IF(U11="DOME",1,IF(U11="IN",1-(V11*0.01),IF(U11="OUT",1+(V11*0.01),IF(OR(U11="L-R",U11="R-L"),1+(V11*0.005),1))))</f>
        <v/>
      </c>
      <c r="U11" s="15" t="inlineStr">
        <is>
          <t>OUT</t>
        </is>
      </c>
      <c r="V11" s="15" t="n"/>
      <c r="W11" s="15" t="n">
        <v>76</v>
      </c>
      <c r="Y11">
        <f>B11 &amp; " vs. " &amp; H11</f>
        <v/>
      </c>
      <c r="Z11">
        <f>TRIM(LEFT(Y11, FIND("vs.", Y11)-1))</f>
        <v/>
      </c>
      <c r="AA11">
        <f>TRIM(MID(Y11, FIND(" vs. ", Y11)+4, 100))</f>
        <v/>
      </c>
      <c r="AB11">
        <f>IF(Q11 &gt; VALUE(AC11), "O " &amp; AC11, IF(Q11 &lt; VALUE(AC11), "U " &amp; AC11, AC11))</f>
        <v/>
      </c>
      <c r="AC11" s="15">
        <f>IF(OR(O11="-", P11="-"), "-", MROUND(O11 + P11, 0.5))</f>
        <v/>
      </c>
      <c r="AD11" s="15">
        <f>VALUE(TRIM(RIGHT(AF11, LEN(AF11) - FIND(" ", AF11))))</f>
        <v/>
      </c>
      <c r="AE11" s="15">
        <f>LEFT(AF11,FIND(" ",AF11)-1)</f>
        <v/>
      </c>
      <c r="AF11" s="15">
        <f>IF(OR(O11="-", P11="-"), "-",
IF(MROUND(ABS(O11-P11),0.5)&lt;=0.5,
IF(O11&gt;P11, B11 &amp; " ML", H11 &amp; " ML"),
IF(MROUND(ABS(O11-P11),0.5)=1,
IF(O11&gt;P11, H11 &amp; " +1.5", B11 &amp; " +1.5"),
IF(O11&gt;P11, B11 &amp; " -1.5", H11 &amp; " -1.5")
)
)
)</f>
        <v/>
      </c>
      <c r="AG11" s="15">
        <f>_xlfn.LET(
_xlpm.winA, O11^1.83 / (O11^1.83 + P11^1.83),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2">
      <c r="A12" s="14" t="n">
        <v>46107</v>
      </c>
      <c r="B12" s="15" t="inlineStr">
        <is>
          <t>D-BACKS</t>
        </is>
      </c>
      <c r="C12">
        <f>VLOOKUP(B12, 'MLB Data'!$B$5:$D$34, 3, FALSE)</f>
        <v/>
      </c>
      <c r="D12" s="16" t="inlineStr">
        <is>
          <t>GALLEN</t>
        </is>
      </c>
      <c r="E12" s="17" t="n">
        <v>4.12</v>
      </c>
      <c r="F12" s="17">
        <f>VLOOKUP(B12, 'MLB Data'!$F$2:$H$34, 3, FALSE)</f>
        <v/>
      </c>
      <c r="G12" s="17">
        <f>IF((E12*0.6+F12*0.4)&lt;2.5, 2.8, IF((E12*0.6+F12*0.4)&gt;5.5, 5.2, (E12*0.6+F12*0.4)))</f>
        <v/>
      </c>
      <c r="H12" s="15" t="inlineStr">
        <is>
          <t>DODGERS</t>
        </is>
      </c>
      <c r="I12">
        <f>VLOOKUP(H12, 'MLB Data'!$B$5:$D$34, 3, FALSE)</f>
        <v/>
      </c>
      <c r="J12" s="16" t="inlineStr">
        <is>
          <t>YAMAMOTO</t>
        </is>
      </c>
      <c r="K12" t="n">
        <v>3.05</v>
      </c>
      <c r="L12" s="17">
        <f>VLOOKUP(H12, 'MLB Data'!$F$2:$H$34, 3, FALSE)</f>
        <v/>
      </c>
      <c r="M12" s="17">
        <f>IF((K12*0.6+L12*0.4)&lt;2.5, 2.8, IF((K12*0.6+L12*0.4)&gt;5.5, 5.2, (K12*0.6+L12*0.4)))</f>
        <v/>
      </c>
      <c r="O12" s="18">
        <f>(C12/100) * 4.45 * (M12 / 4.2) * T12</f>
        <v/>
      </c>
      <c r="P12" s="18">
        <f>(I12/100) * 4.45 * (G12 / 4.2) * T12</f>
        <v/>
      </c>
      <c r="Q12" s="18">
        <f>(O12+P12)</f>
        <v/>
      </c>
      <c r="S12" s="15">
        <f>H12</f>
        <v/>
      </c>
      <c r="T12" s="19">
        <f>IF(S12="ROCKIES",1.13,IF(S12="ATHLETICS",1.03,IF(S12="ROYALS",1.03,IF(S12="TWINS",1,IF(S12="TIGERS",1,IF(S12="MARLINS",1.01,IF(S12="REDS",1.05,IF(S12="RED SOX",1.04,IF(S12="YANKEES",1.02,IF(S12="DODGERS",0.99,IF(S12="PADRES",0.96,IF(S12="CUBS",0.98,IF(S12="GIANTS",0.97,IF(S12="MARINERS",0.94,IF(S12="RANGERS",1,IF(S12="ASTROS",0.99,IF(S12="BRAVES",1,IF(S12="METS",0.96,IF(S12="PHILLIES",1.02,IF(S12="BLUE JAYS",1.01,IF(S12="ORIOLES",0.99,IF(S12="RAYS",1.01,IF(S12="GUARDIANS",0.99,IF(S12="WHITE SOX",0.98,IF(S12="ANGELS",1.01,IF(S12="D-BACKS",1.01,IF(S12="BREWERS",0.99,IF(S12="CARDINALS",0.96,IF(S12="PIRATES",1.02,IF(S12="NATIONALS",1,1))))))))))))))))))))))))))))))*IF(W12="",1,(1+((W12-70)/10*0.035)))*IF(U12="DOME",1,IF(U12="IN",1-(V12*0.01),IF(U12="OUT",1+(V12*0.01),IF(OR(U12="L-R",U12="R-L"),1+(V12*0.005),1))))</f>
        <v/>
      </c>
      <c r="U12" s="15" t="inlineStr">
        <is>
          <t>OUT</t>
        </is>
      </c>
      <c r="V12" s="15" t="n"/>
      <c r="W12" s="15" t="n">
        <v>78</v>
      </c>
      <c r="Y12">
        <f>B12 &amp; " vs. " &amp; H12</f>
        <v/>
      </c>
      <c r="Z12">
        <f>TRIM(LEFT(Y12, FIND("vs.", Y12)-1))</f>
        <v/>
      </c>
      <c r="AA12">
        <f>TRIM(MID(Y12, FIND(" vs. ", Y12)+4, 100))</f>
        <v/>
      </c>
      <c r="AB12">
        <f>IF(Q12 &gt; VALUE(AC12), "O " &amp; AC12, IF(Q12 &lt; VALUE(AC12), "U " &amp; AC12, AC12))</f>
        <v/>
      </c>
      <c r="AC12" s="15">
        <f>IF(OR(O12="-", P12="-"), "-", MROUND(O12 + P12, 0.5))</f>
        <v/>
      </c>
      <c r="AD12" s="15">
        <f>VALUE(TRIM(RIGHT(AF12, LEN(AF12) - FIND(" ", AF12))))</f>
        <v/>
      </c>
      <c r="AE12" s="15">
        <f>LEFT(AF12,FIND(" ",AF12)-1)</f>
        <v/>
      </c>
      <c r="AF12" s="15">
        <f>IF(OR(O12="-", P12="-"), "-",
IF(MROUND(ABS(O12-P12),0.5)&lt;=0.5,
IF(O12&gt;P12, B12 &amp; " ML", H12 &amp; " ML"),
IF(MROUND(ABS(O12-P12),0.5)=1,
IF(O12&gt;P12, H12 &amp; " +1.5", B12 &amp; " +1.5"),
IF(O12&gt;P12, B12 &amp; " -1.5", H12 &amp; " -1.5")
)
)
)</f>
        <v/>
      </c>
      <c r="AG12" s="15">
        <f>_xlfn.LET(
_xlpm.winA, O12^1.83 / (O12^1.83 + P12^1.83),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3">
      <c r="A13" s="14" t="n">
        <v>46107</v>
      </c>
      <c r="B13" s="15" t="inlineStr">
        <is>
          <t>GUARDIANS</t>
        </is>
      </c>
      <c r="C13">
        <f>VLOOKUP(B13, 'MLB Data'!$B$5:$D$34, 3, FALSE)</f>
        <v/>
      </c>
      <c r="D13" s="16" t="inlineStr">
        <is>
          <t>BIBEE</t>
        </is>
      </c>
      <c r="E13" s="17" t="n">
        <v>4.17</v>
      </c>
      <c r="F13" s="17">
        <f>VLOOKUP(B13, 'MLB Data'!$F$2:$H$34, 3, FALSE)</f>
        <v/>
      </c>
      <c r="G13" s="17">
        <f>IF((E13*0.6+F13*0.4)&lt;2.5, 2.8, IF((E13*0.6+F13*0.4)&gt;5.5, 5.2, (E13*0.6+F13*0.4)))</f>
        <v/>
      </c>
      <c r="H13" s="15" t="inlineStr">
        <is>
          <t>MARINERS</t>
        </is>
      </c>
      <c r="I13">
        <f>VLOOKUP(H13, 'MLB Data'!$B$5:$D$34, 3, FALSE)</f>
        <v/>
      </c>
      <c r="J13" s="16" t="inlineStr">
        <is>
          <t>GILBERT</t>
        </is>
      </c>
      <c r="K13" t="n">
        <v>2.95</v>
      </c>
      <c r="L13" s="17">
        <f>VLOOKUP(H13, 'MLB Data'!$F$2:$H$34, 3, FALSE)</f>
        <v/>
      </c>
      <c r="M13" s="17">
        <f>IF((K13*0.6+L13*0.4)&lt;2.5, 2.8, IF((K13*0.6+L13*0.4)&gt;5.5, 5.2, (K13*0.6+L13*0.4)))</f>
        <v/>
      </c>
      <c r="O13" s="18">
        <f>(C13/100) * 4.45 * (M13 / 4.2) * T13</f>
        <v/>
      </c>
      <c r="P13" s="18">
        <f>(I13/100) * 4.45 * (G13 / 4.2) * T13</f>
        <v/>
      </c>
      <c r="Q13" s="18">
        <f>(O13+P13)</f>
        <v/>
      </c>
      <c r="S13" s="15">
        <f>H13</f>
        <v/>
      </c>
      <c r="T13" s="19">
        <f>IF(S13="ROCKIES",1.13,IF(S13="ATHLETICS",1.03,IF(S13="ROYALS",1.03,IF(S13="TWINS",1,IF(S13="TIGERS",1,IF(S13="MARLINS",1.01,IF(S13="REDS",1.05,IF(S13="RED SOX",1.04,IF(S13="YANKEES",1.02,IF(S13="DODGERS",0.99,IF(S13="PADRES",0.96,IF(S13="CUBS",0.98,IF(S13="GIANTS",0.97,IF(S13="MARINERS",0.94,IF(S13="RANGERS",1,IF(S13="ASTROS",0.99,IF(S13="BRAVES",1,IF(S13="METS",0.96,IF(S13="PHILLIES",1.02,IF(S13="BLUE JAYS",1.01,IF(S13="ORIOLES",0.99,IF(S13="RAYS",1.01,IF(S13="GUARDIANS",0.99,IF(S13="WHITE SOX",0.98,IF(S13="ANGELS",1.01,IF(S13="D-BACKS",1.01,IF(S13="BREWERS",0.99,IF(S13="CARDINALS",0.96,IF(S13="PIRATES",1.02,IF(S13="NATIONALS",1,1))))))))))))))))))))))))))))))*IF(W13="",1,(1+((W13-70)/10*0.035)))*IF(U13="DOME",1,IF(U13="IN",1-(V13*0.01),IF(U13="OUT",1+(V13*0.01),IF(OR(U13="L-R",U13="R-L"),1+(V13*0.005),1))))</f>
        <v/>
      </c>
      <c r="U13" s="15" t="inlineStr">
        <is>
          <t>OUT</t>
        </is>
      </c>
      <c r="V13" s="15" t="n"/>
      <c r="W13" s="15" t="n">
        <v>50</v>
      </c>
      <c r="Y13">
        <f>B13 &amp; " vs. " &amp; H13</f>
        <v/>
      </c>
      <c r="Z13">
        <f>TRIM(LEFT(Y13, FIND("vs.", Y13)-1))</f>
        <v/>
      </c>
      <c r="AA13">
        <f>TRIM(MID(Y13, FIND(" vs. ", Y13)+4, 100))</f>
        <v/>
      </c>
      <c r="AB13">
        <f>IF(Q13 &gt; VALUE(AC13), "O " &amp; AC13, IF(Q13 &lt; VALUE(AC13), "U " &amp; AC13, AC13))</f>
        <v/>
      </c>
      <c r="AC13" s="15">
        <f>IF(OR(O13="-", P13="-"), "-", MROUND(O13 + P13, 0.5))</f>
        <v/>
      </c>
      <c r="AD13" s="15">
        <f>VALUE(TRIM(RIGHT(AF13, LEN(AF13) - FIND(" ", AF13))))</f>
        <v/>
      </c>
      <c r="AE13" s="15">
        <f>LEFT(AF13,FIND(" ",AF13)-1)</f>
        <v/>
      </c>
      <c r="AF13" s="15">
        <f>IF(OR(O13="-", P13="-"), "-",
IF(MROUND(ABS(O13-P13),0.5)&lt;=0.5,
IF(O13&gt;P13, B13 &amp; " ML", H13 &amp; " ML"),
IF(MROUND(ABS(O13-P13),0.5)=1,
IF(O13&gt;P13, H13 &amp; " +1.5", B13 &amp; " +1.5"),
IF(O13&gt;P13, B13 &amp; " -1.5", H13 &amp; " -1.5")
)
)
)</f>
        <v/>
      </c>
      <c r="AG13" s="15">
        <f>_xlfn.LET(
_xlpm.winA, O13^1.83 / (O13^1.83 + P13^1.83),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4">
      <c r="A14" s="14" t="n">
        <v>46108</v>
      </c>
      <c r="B14" s="15" t="inlineStr">
        <is>
          <t>YANKEES</t>
        </is>
      </c>
      <c r="C14">
        <f>VLOOKUP(B14, 'MLB Data'!$B$5:$D$34, 3, FALSE)</f>
        <v/>
      </c>
      <c r="D14" s="16" t="inlineStr">
        <is>
          <t>SCHLITTLER</t>
        </is>
      </c>
      <c r="E14" s="17" t="n">
        <v>3.77</v>
      </c>
      <c r="F14" s="17">
        <f>VLOOKUP(B14, 'MLB Data'!$F$2:$H$34, 3, FALSE)</f>
        <v/>
      </c>
      <c r="G14" s="17">
        <f>IF((E14*0.6+F14*0.4)&lt;2.5, 2.8, IF((E14*0.6+F14*0.4)&gt;5.5, 5.2, (E14*0.6+F14*0.4)))</f>
        <v/>
      </c>
      <c r="H14" s="15" t="inlineStr">
        <is>
          <t>GIANTS</t>
        </is>
      </c>
      <c r="I14">
        <f>VLOOKUP(H14, 'MLB Data'!$B$5:$D$34, 3, FALSE)</f>
        <v/>
      </c>
      <c r="J14" s="16" t="inlineStr">
        <is>
          <t>RAY</t>
        </is>
      </c>
      <c r="K14" t="n">
        <v>4.29</v>
      </c>
      <c r="L14" s="17">
        <f>VLOOKUP(H14, 'MLB Data'!$F$2:$H$34, 3, FALSE)</f>
        <v/>
      </c>
      <c r="M14" s="17">
        <f>IF((K14*0.6+L14*0.4)&lt;2.5, 2.8, IF((K14*0.6+L14*0.4)&gt;5.5, 5.2, (K14*0.6+L14*0.4)))</f>
        <v/>
      </c>
      <c r="O14" s="18">
        <f>(C14/100) * 4.45 * (M14 / 4.2) * T14</f>
        <v/>
      </c>
      <c r="P14" s="18">
        <f>(I14/100) * 4.45 * (G14 / 4.2) * T14</f>
        <v/>
      </c>
      <c r="Q14" s="18">
        <f>(O14+P14)</f>
        <v/>
      </c>
      <c r="S14" s="15">
        <f>H14</f>
        <v/>
      </c>
      <c r="T14" s="19">
        <f>IF(S14="ROCKIES",1.13,IF(S14="ATHLETICS",1.03,IF(S14="ROYALS",1.03,IF(S14="TWINS",1,IF(S14="TIGERS",1,IF(S14="MARLINS",1.01,IF(S14="REDS",1.05,IF(S14="RED SOX",1.04,IF(S14="YANKEES",1.02,IF(S14="DODGERS",0.99,IF(S14="PADRES",0.96,IF(S14="CUBS",0.98,IF(S14="GIANTS",0.97,IF(S14="MARINERS",0.94,IF(S14="RANGERS",1,IF(S14="ASTROS",0.99,IF(S14="BRAVES",1,IF(S14="METS",0.96,IF(S14="PHILLIES",1.02,IF(S14="BLUE JAYS",1.01,IF(S14="ORIOLES",0.99,IF(S14="RAYS",1.01,IF(S14="GUARDIANS",0.99,IF(S14="WHITE SOX",0.98,IF(S14="ANGELS",1.01,IF(S14="D-BACKS",1.01,IF(S14="BREWERS",0.99,IF(S14="CARDINALS",0.96,IF(S14="PIRATES",1.02,IF(S14="NATIONALS",1,1))))))))))))))))))))))))))))))*IF(W14="",1,(1+((W14-70)/10*0.035)))*IF(U14="DOME",1,IF(U14="IN",1-(V14*0.01),IF(U14="OUT",1+(V14*0.01),IF(OR(U14="L-R",U14="R-L"),1+(V14*0.005),1))))</f>
        <v/>
      </c>
      <c r="U14" s="15" t="n"/>
      <c r="V14" s="15" t="n"/>
      <c r="W14" s="15" t="n">
        <v>74</v>
      </c>
      <c r="Y14">
        <f>B14 &amp; " vs. " &amp; H14</f>
        <v/>
      </c>
      <c r="Z14">
        <f>TRIM(LEFT(Y14, FIND("vs.", Y14)-1))</f>
        <v/>
      </c>
      <c r="AA14">
        <f>TRIM(MID(Y14, FIND(" vs. ", Y14)+4, 100))</f>
        <v/>
      </c>
      <c r="AB14">
        <f>IF(Q14 &gt; VALUE(AC14), "O " &amp; AC14, IF(Q14 &lt; VALUE(AC14), "U " &amp; AC14, AC14))</f>
        <v/>
      </c>
      <c r="AC14" s="15">
        <f>IF(OR(O14="-", P14="-"), "-", MROUND(O14 + P14, 0.5))</f>
        <v/>
      </c>
      <c r="AD14" s="15">
        <f>VALUE(TRIM(RIGHT(AF14, LEN(AF14) - FIND(" ", AF14))))</f>
        <v/>
      </c>
      <c r="AE14" s="15">
        <f>LEFT(AF14,FIND(" ",AF14)-1)</f>
        <v/>
      </c>
      <c r="AF14" s="15">
        <f>IF(OR(O14="-", P14="-"), "-",
IF(MROUND(ABS(O14-P14),0.5)&lt;=0.5,
IF(O14&gt;P14, B14 &amp; " ML", H14 &amp; " ML"),
IF(MROUND(ABS(O14-P14),0.5)=1,
IF(O14&gt;P14, H14 &amp; " +1.5", B14 &amp; " +1.5"),
IF(O14&gt;P14, B14 &amp; " -1.5", H14 &amp; " -1.5")
)
)
)</f>
        <v/>
      </c>
      <c r="AG14" s="15">
        <f>_xlfn.LET(
_xlpm.winA, O14^1.83 / (O14^1.83 + P14^1.83),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5">
      <c r="A15" s="14" t="n">
        <v>46108</v>
      </c>
      <c r="B15" s="15" t="inlineStr">
        <is>
          <t>ATHLETICS</t>
        </is>
      </c>
      <c r="C15">
        <f>VLOOKUP(B15, 'MLB Data'!$B$5:$D$34, 3, FALSE)</f>
        <v/>
      </c>
      <c r="D15" s="16" t="inlineStr">
        <is>
          <t xml:space="preserve">SEVERINO </t>
        </is>
      </c>
      <c r="E15" s="17" t="n">
        <v>4.63</v>
      </c>
      <c r="F15" s="17">
        <f>VLOOKUP(B15, 'MLB Data'!$F$2:$H$34, 3, FALSE)</f>
        <v/>
      </c>
      <c r="G15" s="17">
        <f>IF((E15*0.6+F15*0.4)&lt;2.5, 2.8, IF((E15*0.6+F15*0.4)&gt;5.5, 5.2, (E15*0.6+F15*0.4)))</f>
        <v/>
      </c>
      <c r="H15" s="15" t="inlineStr">
        <is>
          <t>BLUE JAYS</t>
        </is>
      </c>
      <c r="I15">
        <f>VLOOKUP(H15, 'MLB Data'!$B$5:$D$34, 3, FALSE)</f>
        <v/>
      </c>
      <c r="J15" s="16" t="inlineStr">
        <is>
          <t>GAUSMAN</t>
        </is>
      </c>
      <c r="K15" t="n">
        <v>3.77</v>
      </c>
      <c r="L15" s="17">
        <f>VLOOKUP(H15, 'MLB Data'!$F$2:$H$34, 3, FALSE)</f>
        <v/>
      </c>
      <c r="M15" s="17">
        <f>IF((K15*0.6+L15*0.4)&lt;2.5, 2.8, IF((K15*0.6+L15*0.4)&gt;5.5, 5.2, (K15*0.6+L15*0.4)))</f>
        <v/>
      </c>
      <c r="O15" s="18">
        <f>(C15/100) * 4.45 * (M15 / 4.2) * T15</f>
        <v/>
      </c>
      <c r="P15" s="18">
        <f>(I15/100) * 4.45 * (G15 / 4.2) * T15</f>
        <v/>
      </c>
      <c r="Q15" s="18">
        <f>(O15+P15)</f>
        <v/>
      </c>
      <c r="S15" s="15">
        <f>H15</f>
        <v/>
      </c>
      <c r="T15" s="19">
        <f>IF(S15="ROCKIES",1.13,IF(S15="ATHLETICS",1.03,IF(S15="ROYALS",1.03,IF(S15="TWINS",1,IF(S15="TIGERS",1,IF(S15="MARLINS",1.01,IF(S15="REDS",1.05,IF(S15="RED SOX",1.04,IF(S15="YANKEES",1.02,IF(S15="DODGERS",0.99,IF(S15="PADRES",0.96,IF(S15="CUBS",0.98,IF(S15="GIANTS",0.97,IF(S15="MARINERS",0.94,IF(S15="RANGERS",1,IF(S15="ASTROS",0.99,IF(S15="BRAVES",1,IF(S15="METS",0.96,IF(S15="PHILLIES",1.02,IF(S15="BLUE JAYS",1.01,IF(S15="ORIOLES",0.99,IF(S15="RAYS",1.01,IF(S15="GUARDIANS",0.99,IF(S15="WHITE SOX",0.98,IF(S15="ANGELS",1.01,IF(S15="D-BACKS",1.01,IF(S15="BREWERS",0.99,IF(S15="CARDINALS",0.96,IF(S15="PIRATES",1.02,IF(S15="NATIONALS",1,1))))))))))))))))))))))))))))))*IF(W15="",1,(1+((W15-70)/10*0.035)))*IF(U15="DOME",1,IF(U15="IN",1-(V15*0.01),IF(U15="OUT",1+(V15*0.01),IF(OR(U15="L-R",U15="R-L"),1+(V15*0.005),1))))</f>
        <v/>
      </c>
      <c r="U15" s="15" t="inlineStr">
        <is>
          <t>DOME</t>
        </is>
      </c>
      <c r="V15" s="15" t="n"/>
      <c r="W15" s="15" t="n">
        <v>29</v>
      </c>
      <c r="Y15">
        <f>B15 &amp; " vs. " &amp; H15</f>
        <v/>
      </c>
      <c r="Z15">
        <f>TRIM(LEFT(Y15, FIND("vs.", Y15)-1))</f>
        <v/>
      </c>
      <c r="AA15">
        <f>TRIM(MID(Y15, FIND(" vs. ", Y15)+4, 100))</f>
        <v/>
      </c>
      <c r="AB15">
        <f>IF(Q15 &gt; VALUE(AC15), "O " &amp; AC15, IF(Q15 &lt; VALUE(AC15), "U " &amp; AC15, AC15))</f>
        <v/>
      </c>
      <c r="AC15" s="15">
        <f>IF(OR(O15="-", P15="-"), "-", MROUND(O15 + P15, 0.5))</f>
        <v/>
      </c>
      <c r="AD15" s="15">
        <f>VALUE(TRIM(RIGHT(AF15, LEN(AF15) - FIND(" ", AF15))))</f>
        <v/>
      </c>
      <c r="AE15" s="15">
        <f>LEFT(AF15,FIND(" ",AF15)-1)</f>
        <v/>
      </c>
      <c r="AF15" s="15">
        <f>IF(OR(O15="-", P15="-"), "-",
IF(MROUND(ABS(O15-P15),0.5)&lt;=0.5,
IF(O15&gt;P15, B15 &amp; " ML", H15 &amp; " ML"),
IF(MROUND(ABS(O15-P15),0.5)=1,
IF(O15&gt;P15, H15 &amp; " +1.5", B15 &amp; " +1.5"),
IF(O15&gt;P15, B15 &amp; " -1.5", H15 &amp; " -1.5")
)
)
)</f>
        <v/>
      </c>
      <c r="AG15" s="15">
        <f>_xlfn.LET(
_xlpm.winA, O15^1.83 / (O15^1.83 + P15^1.83),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6">
      <c r="A16" s="14" t="n">
        <v>46108</v>
      </c>
      <c r="B16" s="15" t="inlineStr">
        <is>
          <t>ROCKIES</t>
        </is>
      </c>
      <c r="C16">
        <f>VLOOKUP(B16, 'MLB Data'!$B$5:$D$34, 3, FALSE)</f>
        <v/>
      </c>
      <c r="D16" s="16" t="inlineStr">
        <is>
          <t>FREELAND</t>
        </is>
      </c>
      <c r="E16" s="17" t="n">
        <v>4.29</v>
      </c>
      <c r="F16" s="17">
        <f>VLOOKUP(B16, 'MLB Data'!$F$2:$H$34, 3, FALSE)</f>
        <v/>
      </c>
      <c r="G16" s="17">
        <f>IF((E16*0.6+F16*0.4)&lt;2.5, 2.8, IF((E16*0.6+F16*0.4)&gt;5.5, 5.2, (E16*0.6+F16*0.4)))</f>
        <v/>
      </c>
      <c r="H16" s="15" t="inlineStr">
        <is>
          <t>MARLINS</t>
        </is>
      </c>
      <c r="I16">
        <f>VLOOKUP(H16, 'MLB Data'!$B$5:$D$34, 3, FALSE)</f>
        <v/>
      </c>
      <c r="J16" s="16" t="inlineStr">
        <is>
          <t>ALCANTARA</t>
        </is>
      </c>
      <c r="K16" t="n">
        <v>4.19</v>
      </c>
      <c r="L16" s="17">
        <f>VLOOKUP(H16, 'MLB Data'!$F$2:$H$34, 3, FALSE)</f>
        <v/>
      </c>
      <c r="M16" s="17">
        <f>IF((K16*0.6+L16*0.4)&lt;2.5, 2.8, IF((K16*0.6+L16*0.4)&gt;5.5, 5.2, (K16*0.6+L16*0.4)))</f>
        <v/>
      </c>
      <c r="O16" s="18">
        <f>(C16/100) * 4.45 * (M16 / 4.2) * T16</f>
        <v/>
      </c>
      <c r="P16" s="18">
        <f>(I16/100) * 4.45 * (G16 / 4.2) * T16</f>
        <v/>
      </c>
      <c r="Q16" s="18">
        <f>(O16+P16)</f>
        <v/>
      </c>
      <c r="S16" s="15">
        <f>H16</f>
        <v/>
      </c>
      <c r="T16" s="19">
        <f>IF(S16="ROCKIES",1.13,IF(S16="ATHLETICS",1.03,IF(S16="ROYALS",1.03,IF(S16="TWINS",1,IF(S16="TIGERS",1,IF(S16="MARLINS",1.01,IF(S16="REDS",1.05,IF(S16="RED SOX",1.04,IF(S16="YANKEES",1.02,IF(S16="DODGERS",0.99,IF(S16="PADRES",0.96,IF(S16="CUBS",0.98,IF(S16="GIANTS",0.97,IF(S16="MARINERS",0.94,IF(S16="RANGERS",1,IF(S16="ASTROS",0.99,IF(S16="BRAVES",1,IF(S16="METS",0.96,IF(S16="PHILLIES",1.02,IF(S16="BLUE JAYS",1.01,IF(S16="ORIOLES",0.99,IF(S16="RAYS",1.01,IF(S16="GUARDIANS",0.99,IF(S16="WHITE SOX",0.98,IF(S16="ANGELS",1.01,IF(S16="D-BACKS",1.01,IF(S16="BREWERS",0.99,IF(S16="CARDINALS",0.96,IF(S16="PIRATES",1.02,IF(S16="NATIONALS",1,1))))))))))))))))))))))))))))))*IF(W16="",1,(1+((W16-70)/10*0.035)))*IF(U16="DOME",1,IF(U16="IN",1-(V16*0.01),IF(U16="OUT",1+(V16*0.01),IF(OR(U16="L-R",U16="R-L"),1+(V16*0.005),1))))</f>
        <v/>
      </c>
      <c r="U16" s="15" t="inlineStr">
        <is>
          <t>DOME</t>
        </is>
      </c>
      <c r="V16" s="15" t="n"/>
      <c r="W16" s="15" t="n">
        <v>78</v>
      </c>
      <c r="Y16">
        <f>B16 &amp; " vs. " &amp; H16</f>
        <v/>
      </c>
      <c r="Z16">
        <f>TRIM(LEFT(Y16, FIND("vs.", Y16)-1))</f>
        <v/>
      </c>
      <c r="AA16">
        <f>TRIM(MID(Y16, FIND(" vs. ", Y16)+4, 100))</f>
        <v/>
      </c>
      <c r="AB16">
        <f>IF(Q16 &gt; VALUE(AC16), "O " &amp; AC16, IF(Q16 &lt; VALUE(AC16), "U " &amp; AC16, AC16))</f>
        <v/>
      </c>
      <c r="AC16" s="15">
        <f>IF(OR(O16="-", P16="-"), "-", MROUND(O16 + P16, 0.5))</f>
        <v/>
      </c>
      <c r="AD16" s="15">
        <f>VALUE(TRIM(RIGHT(AF16, LEN(AF16) - FIND(" ", AF16))))</f>
        <v/>
      </c>
      <c r="AE16" s="15">
        <f>LEFT(AF16,FIND(" ",AF16)-1)</f>
        <v/>
      </c>
      <c r="AF16" s="15">
        <f>IF(OR(O16="-", P16="-"), "-",
IF(MROUND(ABS(O16-P16),0.5)&lt;=0.5,
IF(O16&gt;P16, B16 &amp; " ML", H16 &amp; " ML"),
IF(MROUND(ABS(O16-P16),0.5)=1,
IF(O16&gt;P16, H16 &amp; " +1.5", B16 &amp; " +1.5"),
IF(O16&gt;P16, B16 &amp; " -1.5", H16 &amp; " -1.5")
)
)
)</f>
        <v/>
      </c>
      <c r="AG16" s="15">
        <f>_xlfn.LET(
_xlpm.winA, O16^1.83 / (O16^1.83 + P16^1.83),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7">
      <c r="A17" s="14" t="n">
        <v>46108</v>
      </c>
      <c r="B17" s="15" t="inlineStr">
        <is>
          <t>ROYALS</t>
        </is>
      </c>
      <c r="C17">
        <f>VLOOKUP(B17, 'MLB Data'!$B$5:$D$34, 3, FALSE)</f>
        <v/>
      </c>
      <c r="D17" s="16" t="inlineStr">
        <is>
          <t>RAGANS</t>
        </is>
      </c>
      <c r="E17" s="17" t="n">
        <v>2.45</v>
      </c>
      <c r="F17" s="17">
        <f>VLOOKUP(B17, 'MLB Data'!$F$2:$H$34, 3, FALSE)</f>
        <v/>
      </c>
      <c r="G17" s="17">
        <f>IF((E17*0.6+F17*0.4)&lt;2.5, 2.8, IF((E17*0.6+F17*0.4)&gt;5.5, 5.2, (E17*0.6+F17*0.4)))</f>
        <v/>
      </c>
      <c r="H17" s="15" t="inlineStr">
        <is>
          <t>BRAVES</t>
        </is>
      </c>
      <c r="I17">
        <f>VLOOKUP(H17, 'MLB Data'!$B$5:$D$34, 3, FALSE)</f>
        <v/>
      </c>
      <c r="J17" s="16" t="inlineStr">
        <is>
          <t>SALE</t>
        </is>
      </c>
      <c r="K17" t="n">
        <v>2.98</v>
      </c>
      <c r="L17" s="17">
        <f>VLOOKUP(H17, 'MLB Data'!$F$2:$H$34, 3, FALSE)</f>
        <v/>
      </c>
      <c r="M17" s="17">
        <f>IF((K17*0.6+L17*0.4)&lt;2.5, 2.8, IF((K17*0.6+L17*0.4)&gt;5.5, 5.2, (K17*0.6+L17*0.4)))</f>
        <v/>
      </c>
      <c r="O17" s="18">
        <f>(C17/100) * 4.45 * (M17 / 4.2) * T17</f>
        <v/>
      </c>
      <c r="P17" s="18">
        <f>(I17/100) * 4.45 * (G17 / 4.2) * T17</f>
        <v/>
      </c>
      <c r="Q17" s="18">
        <f>(O17+P17)</f>
        <v/>
      </c>
      <c r="S17" s="15">
        <f>H17</f>
        <v/>
      </c>
      <c r="T17" s="19">
        <f>IF(S17="ROCKIES",1.13,IF(S17="ATHLETICS",1.03,IF(S17="ROYALS",1.03,IF(S17="TWINS",1,IF(S17="TIGERS",1,IF(S17="MARLINS",1.01,IF(S17="REDS",1.05,IF(S17="RED SOX",1.04,IF(S17="YANKEES",1.02,IF(S17="DODGERS",0.99,IF(S17="PADRES",0.96,IF(S17="CUBS",0.98,IF(S17="GIANTS",0.97,IF(S17="MARINERS",0.94,IF(S17="RANGERS",1,IF(S17="ASTROS",0.99,IF(S17="BRAVES",1,IF(S17="METS",0.96,IF(S17="PHILLIES",1.02,IF(S17="BLUE JAYS",1.01,IF(S17="ORIOLES",0.99,IF(S17="RAYS",1.01,IF(S17="GUARDIANS",0.99,IF(S17="WHITE SOX",0.98,IF(S17="ANGELS",1.01,IF(S17="D-BACKS",1.01,IF(S17="BREWERS",0.99,IF(S17="CARDINALS",0.96,IF(S17="PIRATES",1.02,IF(S17="NATIONALS",1,1))))))))))))))))))))))))))))))*IF(W17="",1,(1+((W17-70)/10*0.035)))*IF(U17="DOME",1,IF(U17="IN",1-(V17*0.01),IF(U17="OUT",1+(V17*0.01),IF(OR(U17="L-R",U17="R-L"),1+(V17*0.005),1))))</f>
        <v/>
      </c>
      <c r="U17" s="15" t="inlineStr">
        <is>
          <t>OUT</t>
        </is>
      </c>
      <c r="V17" s="15" t="n"/>
      <c r="W17" s="15" t="n">
        <v>78</v>
      </c>
      <c r="Y17">
        <f>B17 &amp; " vs. " &amp; H17</f>
        <v/>
      </c>
      <c r="Z17">
        <f>TRIM(LEFT(Y17, FIND("vs.", Y17)-1))</f>
        <v/>
      </c>
      <c r="AA17">
        <f>TRIM(MID(Y17, FIND(" vs. ", Y17)+4, 100))</f>
        <v/>
      </c>
      <c r="AB17">
        <f>IF(Q17 &gt; VALUE(AC17), "O " &amp; AC17, IF(Q17 &lt; VALUE(AC17), "U " &amp; AC17, AC17))</f>
        <v/>
      </c>
      <c r="AC17" s="15">
        <f>IF(OR(O17="-", P17="-"), "-", MROUND(O17 + P17, 0.5))</f>
        <v/>
      </c>
      <c r="AD17" s="15">
        <f>VALUE(TRIM(RIGHT(AF17, LEN(AF17) - FIND(" ", AF17))))</f>
        <v/>
      </c>
      <c r="AE17" s="15">
        <f>LEFT(AF17,FIND(" ",AF17)-1)</f>
        <v/>
      </c>
      <c r="AF17" s="15">
        <f>IF(OR(O17="-", P17="-"), "-",
IF(MROUND(ABS(O17-P17),0.5)&lt;=0.5,
IF(O17&gt;P17, B17 &amp; " ML", H17 &amp; " ML"),
IF(MROUND(ABS(O17-P17),0.5)=1,
IF(O17&gt;P17, H17 &amp; " +1.5", B17 &amp; " +1.5"),
IF(O17&gt;P17, B17 &amp; " -1.5", H17 &amp; " -1.5")
)
)
)</f>
        <v/>
      </c>
      <c r="AG17" s="15">
        <f>_xlfn.LET(
_xlpm.winA, O17^1.83 / (O17^1.83 + P17^1.83),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8">
      <c r="A18" s="14" t="n">
        <v>46108</v>
      </c>
      <c r="B18" s="15" t="inlineStr">
        <is>
          <t>ANGELS</t>
        </is>
      </c>
      <c r="C18">
        <f>VLOOKUP(B18, 'MLB Data'!$B$5:$D$34, 3, FALSE)</f>
        <v/>
      </c>
      <c r="D18" s="16" t="inlineStr">
        <is>
          <t>KIKUCHI</t>
        </is>
      </c>
      <c r="E18" s="17" t="n">
        <v>4.28</v>
      </c>
      <c r="F18" s="17">
        <f>VLOOKUP(B18, 'MLB Data'!$F$2:$H$34, 3, FALSE)</f>
        <v/>
      </c>
      <c r="G18" s="17">
        <f>IF((E18*0.6+F18*0.4)&lt;2.5, 2.8, IF((E18*0.6+F18*0.4)&gt;5.5, 5.2, (E18*0.6+F18*0.4)))</f>
        <v/>
      </c>
      <c r="H18" s="15" t="inlineStr">
        <is>
          <t>ASTROS</t>
        </is>
      </c>
      <c r="I18">
        <f>VLOOKUP(H18, 'MLB Data'!$B$5:$D$34, 3, FALSE)</f>
        <v/>
      </c>
      <c r="J18" s="16" t="inlineStr">
        <is>
          <t>BURROWS</t>
        </is>
      </c>
      <c r="K18" t="n">
        <v>3.86</v>
      </c>
      <c r="L18" s="17">
        <f>VLOOKUP(H18, 'MLB Data'!$F$2:$H$34, 3, FALSE)</f>
        <v/>
      </c>
      <c r="M18" s="17">
        <f>IF((K18*0.6+L18*0.4)&lt;2.5, 2.8, IF((K18*0.6+L18*0.4)&gt;5.5, 5.2, (K18*0.6+L18*0.4)))</f>
        <v/>
      </c>
      <c r="O18" s="18">
        <f>(C18/100) * 4.45 * (M18 / 4.2) * T18</f>
        <v/>
      </c>
      <c r="P18" s="18">
        <f>(I18/100) * 4.45 * (G18 / 4.2) * T18</f>
        <v/>
      </c>
      <c r="Q18" s="18">
        <f>(O18+P18)</f>
        <v/>
      </c>
      <c r="S18" s="15">
        <f>H18</f>
        <v/>
      </c>
      <c r="T18" s="19">
        <f>IF(S18="ROCKIES",1.13,IF(S18="ATHLETICS",1.03,IF(S18="ROYALS",1.03,IF(S18="TWINS",1,IF(S18="TIGERS",1,IF(S18="MARLINS",1.01,IF(S18="REDS",1.05,IF(S18="RED SOX",1.04,IF(S18="YANKEES",1.02,IF(S18="DODGERS",0.99,IF(S18="PADRES",0.96,IF(S18="CUBS",0.98,IF(S18="GIANTS",0.97,IF(S18="MARINERS",0.94,IF(S18="RANGERS",1,IF(S18="ASTROS",0.99,IF(S18="BRAVES",1,IF(S18="METS",0.96,IF(S18="PHILLIES",1.02,IF(S18="BLUE JAYS",1.01,IF(S18="ORIOLES",0.99,IF(S18="RAYS",1.01,IF(S18="GUARDIANS",0.99,IF(S18="WHITE SOX",0.98,IF(S18="ANGELS",1.01,IF(S18="D-BACKS",1.01,IF(S18="BREWERS",0.99,IF(S18="CARDINALS",0.96,IF(S18="PIRATES",1.02,IF(S18="NATIONALS",1,1))))))))))))))))))))))))))))))*IF(W18="",1,(1+((W18-70)/10*0.035)))*IF(U18="DOME",1,IF(U18="IN",1-(V18*0.01),IF(U18="OUT",1+(V18*0.01),IF(OR(U18="L-R",U18="R-L"),1+(V18*0.005),1))))</f>
        <v/>
      </c>
      <c r="U18" s="15" t="inlineStr">
        <is>
          <t>DOME</t>
        </is>
      </c>
      <c r="V18" s="15" t="n"/>
      <c r="W18" s="15" t="n">
        <v>81</v>
      </c>
      <c r="Y18">
        <f>B18 &amp; " vs. " &amp; H18</f>
        <v/>
      </c>
      <c r="Z18">
        <f>TRIM(LEFT(Y18, FIND("vs.", Y18)-1))</f>
        <v/>
      </c>
      <c r="AA18">
        <f>TRIM(MID(Y18, FIND(" vs. ", Y18)+4, 100))</f>
        <v/>
      </c>
      <c r="AB18">
        <f>IF(Q18 &gt; VALUE(AC18), "O " &amp; AC18, IF(Q18 &lt; VALUE(AC18), "U " &amp; AC18, AC18))</f>
        <v/>
      </c>
      <c r="AC18" s="15">
        <f>IF(OR(O18="-", P18="-"), "-", MROUND(O18 + P18, 0.5))</f>
        <v/>
      </c>
      <c r="AD18" s="15">
        <f>VALUE(TRIM(RIGHT(AF18, LEN(AF18) - FIND(" ", AF18))))</f>
        <v/>
      </c>
      <c r="AE18" s="15">
        <f>LEFT(AF18,FIND(" ",AF18)-1)</f>
        <v/>
      </c>
      <c r="AF18" s="15">
        <f>IF(OR(O18="-", P18="-"), "-",
IF(MROUND(ABS(O18-P18),0.5)&lt;=0.5,
IF(O18&gt;P18, B18 &amp; " ML", H18 &amp; " ML"),
IF(MROUND(ABS(O18-P18),0.5)=1,
IF(O18&gt;P18, H18 &amp; " +1.5", B18 &amp; " +1.5"),
IF(O18&gt;P18, B18 &amp; " -1.5", H18 &amp; " -1.5")
)
)
)</f>
        <v/>
      </c>
      <c r="AG18" s="15">
        <f>_xlfn.LET(
_xlpm.winA, O18^1.83 / (O18^1.83 + P18^1.83),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9">
      <c r="A19" s="14" t="n">
        <v>46108</v>
      </c>
      <c r="B19" s="15" t="inlineStr">
        <is>
          <t>TIGERS</t>
        </is>
      </c>
      <c r="C19">
        <f>VLOOKUP(B19, 'MLB Data'!$B$5:$D$34, 3, FALSE)</f>
        <v/>
      </c>
      <c r="D19" s="16" t="inlineStr">
        <is>
          <t>VALDEZ</t>
        </is>
      </c>
      <c r="E19" s="17" t="n">
        <v>3.34</v>
      </c>
      <c r="F19" s="17">
        <f>VLOOKUP(B19, 'MLB Data'!$F$2:$H$34, 3, FALSE)</f>
        <v/>
      </c>
      <c r="G19" s="17">
        <f>IF((E19*0.6+F19*0.4)&lt;2.5, 2.8, IF((E19*0.6+F19*0.4)&gt;5.5, 5.2, (E19*0.6+F19*0.4)))</f>
        <v/>
      </c>
      <c r="H19" s="15" t="inlineStr">
        <is>
          <t>PADRES</t>
        </is>
      </c>
      <c r="I19">
        <f>VLOOKUP(H19, 'MLB Data'!$B$5:$D$34, 3, FALSE)</f>
        <v/>
      </c>
      <c r="J19" s="16" t="inlineStr">
        <is>
          <t>KING</t>
        </is>
      </c>
      <c r="K19" t="n">
        <v>4.2</v>
      </c>
      <c r="L19" s="17">
        <f>VLOOKUP(H19, 'MLB Data'!$F$2:$H$34, 3, FALSE)</f>
        <v/>
      </c>
      <c r="M19" s="17">
        <f>IF((K19*0.6+L19*0.4)&lt;2.5, 2.8, IF((K19*0.6+L19*0.4)&gt;5.5, 5.2, (K19*0.6+L19*0.4)))</f>
        <v/>
      </c>
      <c r="O19" s="18">
        <f>(C19/100) * 4.45 * (M19 / 4.2) * T19</f>
        <v/>
      </c>
      <c r="P19" s="18">
        <f>(I19/100) * 4.45 * (G19 / 4.2) * T19</f>
        <v/>
      </c>
      <c r="Q19" s="18">
        <f>(O19+P19)</f>
        <v/>
      </c>
      <c r="S19" s="15">
        <f>H19</f>
        <v/>
      </c>
      <c r="T19" s="19">
        <f>IF(S19="ROCKIES",1.13,IF(S19="ATHLETICS",1.03,IF(S19="ROYALS",1.03,IF(S19="TWINS",1,IF(S19="TIGERS",1,IF(S19="MARLINS",1.01,IF(S19="REDS",1.05,IF(S19="RED SOX",1.04,IF(S19="YANKEES",1.02,IF(S19="DODGERS",0.99,IF(S19="PADRES",0.96,IF(S19="CUBS",0.98,IF(S19="GIANTS",0.97,IF(S19="MARINERS",0.94,IF(S19="RANGERS",1,IF(S19="ASTROS",0.99,IF(S19="BRAVES",1,IF(S19="METS",0.96,IF(S19="PHILLIES",1.02,IF(S19="BLUE JAYS",1.01,IF(S19="ORIOLES",0.99,IF(S19="RAYS",1.01,IF(S19="GUARDIANS",0.99,IF(S19="WHITE SOX",0.98,IF(S19="ANGELS",1.01,IF(S19="D-BACKS",1.01,IF(S19="BREWERS",0.99,IF(S19="CARDINALS",0.96,IF(S19="PIRATES",1.02,IF(S19="NATIONALS",1,1))))))))))))))))))))))))))))))*IF(W19="",1,(1+((W19-70)/10*0.035)))*IF(U19="DOME",1,IF(U19="IN",1-(V19*0.01),IF(U19="OUT",1+(V19*0.01),IF(OR(U19="L-R",U19="R-L"),1+(V19*0.005),1))))</f>
        <v/>
      </c>
      <c r="U19" s="15" t="inlineStr">
        <is>
          <t>OUT</t>
        </is>
      </c>
      <c r="V19" s="15" t="n"/>
      <c r="W19" s="15" t="n">
        <v>71</v>
      </c>
      <c r="Y19">
        <f>B19 &amp; " vs. " &amp; H19</f>
        <v/>
      </c>
      <c r="Z19">
        <f>TRIM(LEFT(Y19, FIND("vs.", Y19)-1))</f>
        <v/>
      </c>
      <c r="AA19">
        <f>TRIM(MID(Y19, FIND(" vs. ", Y19)+4, 100))</f>
        <v/>
      </c>
      <c r="AB19">
        <f>IF(Q19 &gt; VALUE(AC19), "O " &amp; AC19, IF(Q19 &lt; VALUE(AC19), "U " &amp; AC19, AC19))</f>
        <v/>
      </c>
      <c r="AC19" s="15">
        <f>IF(OR(O19="-", P19="-"), "-", MROUND(O19 + P19, 0.5))</f>
        <v/>
      </c>
      <c r="AD19" s="15">
        <f>VALUE(TRIM(RIGHT(AF19, LEN(AF19) - FIND(" ", AF19))))</f>
        <v/>
      </c>
      <c r="AE19" s="15">
        <f>LEFT(AF19,FIND(" ",AF19)-1)</f>
        <v/>
      </c>
      <c r="AF19" s="15">
        <f>IF(OR(O19="-", P19="-"), "-",
IF(MROUND(ABS(O19-P19),0.5)&lt;=0.5,
IF(O19&gt;P19, B19 &amp; " ML", H19 &amp; " ML"),
IF(MROUND(ABS(O19-P19),0.5)=1,
IF(O19&gt;P19, H19 &amp; " +1.5", B19 &amp; " +1.5"),
IF(O19&gt;P19, B19 &amp; " -1.5", H19 &amp; " -1.5")
)
)
)</f>
        <v/>
      </c>
      <c r="AG19" s="15">
        <f>_xlfn.LET(
_xlpm.winA, O19^1.83 / (O19^1.83 + P19^1.83),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20">
      <c r="A20" s="14" t="n">
        <v>46108</v>
      </c>
      <c r="B20" s="15" t="inlineStr">
        <is>
          <t>GUARDIANS</t>
        </is>
      </c>
      <c r="C20">
        <f>VLOOKUP(B20, 'MLB Data'!$B$5:$D$34, 3, FALSE)</f>
        <v/>
      </c>
      <c r="D20" s="16" t="inlineStr">
        <is>
          <t>WILLIAMS</t>
        </is>
      </c>
      <c r="E20" s="17" t="n">
        <v>4.08</v>
      </c>
      <c r="F20" s="17">
        <f>VLOOKUP(B20, 'MLB Data'!$F$2:$H$34, 3, FALSE)</f>
        <v/>
      </c>
      <c r="G20" s="17">
        <f>IF((E20*0.6+F20*0.4)&lt;2.5, 2.8, IF((E20*0.6+F20*0.4)&gt;5.5, 5.2, (E20*0.6+F20*0.4)))</f>
        <v/>
      </c>
      <c r="H20" s="15" t="inlineStr">
        <is>
          <t>MARINERS</t>
        </is>
      </c>
      <c r="I20">
        <f>VLOOKUP(H20, 'MLB Data'!$B$5:$D$34, 3, FALSE)</f>
        <v/>
      </c>
      <c r="J20" s="16" t="inlineStr">
        <is>
          <t>KIRBY</t>
        </is>
      </c>
      <c r="K20" t="n">
        <v>3.25</v>
      </c>
      <c r="L20" s="17">
        <f>VLOOKUP(H20, 'MLB Data'!$F$2:$H$34, 3, FALSE)</f>
        <v/>
      </c>
      <c r="M20" s="17">
        <f>IF((K20*0.6+L20*0.4)&lt;2.5, 2.8, IF((K20*0.6+L20*0.4)&gt;5.5, 5.2, (K20*0.6+L20*0.4)))</f>
        <v/>
      </c>
      <c r="O20" s="18">
        <f>(C20/100) * 4.45 * (M20 / 4.2) * T20</f>
        <v/>
      </c>
      <c r="P20" s="18">
        <f>(I20/100) * 4.45 * (G20 / 4.2) * T20</f>
        <v/>
      </c>
      <c r="Q20" s="18">
        <f>(O20+P20)</f>
        <v/>
      </c>
      <c r="S20" s="15">
        <f>H20</f>
        <v/>
      </c>
      <c r="T20" s="19">
        <f>IF(S20="ROCKIES",1.13,IF(S20="ATHLETICS",1.03,IF(S20="ROYALS",1.03,IF(S20="TWINS",1,IF(S20="TIGERS",1,IF(S20="MARLINS",1.01,IF(S20="REDS",1.05,IF(S20="RED SOX",1.04,IF(S20="YANKEES",1.02,IF(S20="DODGERS",0.99,IF(S20="PADRES",0.96,IF(S20="CUBS",0.98,IF(S20="GIANTS",0.97,IF(S20="MARINERS",0.94,IF(S20="RANGERS",1,IF(S20="ASTROS",0.99,IF(S20="BRAVES",1,IF(S20="METS",0.96,IF(S20="PHILLIES",1.02,IF(S20="BLUE JAYS",1.01,IF(S20="ORIOLES",0.99,IF(S20="RAYS",1.01,IF(S20="GUARDIANS",0.99,IF(S20="WHITE SOX",0.98,IF(S20="ANGELS",1.01,IF(S20="D-BACKS",1.01,IF(S20="BREWERS",0.99,IF(S20="CARDINALS",0.96,IF(S20="PIRATES",1.02,IF(S20="NATIONALS",1,1))))))))))))))))))))))))))))))*IF(W20="",1,(1+((W20-70)/10*0.035)))*IF(U20="DOME",1,IF(U20="IN",1-(V20*0.01),IF(U20="OUT",1+(V20*0.01),IF(OR(U20="L-R",U20="R-L"),1+(V20*0.005),1))))</f>
        <v/>
      </c>
      <c r="U20" s="15" t="inlineStr">
        <is>
          <t>IN</t>
        </is>
      </c>
      <c r="V20" s="15" t="n"/>
      <c r="W20" s="15" t="n">
        <v>50</v>
      </c>
      <c r="Y20">
        <f>B20 &amp; " vs. " &amp; H20</f>
        <v/>
      </c>
      <c r="Z20">
        <f>TRIM(LEFT(Y20, FIND("vs.", Y20)-1))</f>
        <v/>
      </c>
      <c r="AA20">
        <f>TRIM(MID(Y20, FIND(" vs. ", Y20)+4, 100))</f>
        <v/>
      </c>
      <c r="AB20">
        <f>IF(Q20 &gt; VALUE(AC20), "O " &amp; AC20, IF(Q20 &lt; VALUE(AC20), "U " &amp; AC20, AC20))</f>
        <v/>
      </c>
      <c r="AC20" s="15">
        <f>IF(OR(O20="-", P20="-"), "-", MROUND(O20 + P20, 0.5))</f>
        <v/>
      </c>
      <c r="AD20" s="15">
        <f>VALUE(TRIM(RIGHT(AF20, LEN(AF20) - FIND(" ", AF20))))</f>
        <v/>
      </c>
      <c r="AE20" s="15">
        <f>LEFT(AF20,FIND(" ",AF20)-1)</f>
        <v/>
      </c>
      <c r="AF20" s="15">
        <f>IF(OR(O20="-", P20="-"), "-",
IF(MROUND(ABS(O20-P20),0.5)&lt;=0.5,
IF(O20&gt;P20, B20 &amp; " ML", H20 &amp; " ML"),
IF(MROUND(ABS(O20-P20),0.5)=1,
IF(O20&gt;P20, H20 &amp; " +1.5", B20 &amp; " +1.5"),
IF(O20&gt;P20, B20 &amp; " -1.5", H20 &amp; " -1.5")
)
)
)</f>
        <v/>
      </c>
      <c r="AG20" s="15">
        <f>_xlfn.LET(
_xlpm.winA, O20^1.83 / (O20^1.83 + P20^1.83),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21">
      <c r="A21" s="14" t="n">
        <v>46108</v>
      </c>
      <c r="B21" s="15" t="inlineStr">
        <is>
          <t>D-BACKS</t>
        </is>
      </c>
      <c r="C21">
        <f>VLOOKUP(B21, 'MLB Data'!$B$5:$D$34, 3, FALSE)</f>
        <v/>
      </c>
      <c r="D21" s="16" t="inlineStr">
        <is>
          <t>NELSON</t>
        </is>
      </c>
      <c r="E21" s="17" t="n">
        <v>4.22</v>
      </c>
      <c r="F21" s="17">
        <f>VLOOKUP(B21, 'MLB Data'!$F$2:$H$34, 3, FALSE)</f>
        <v/>
      </c>
      <c r="G21" s="17">
        <f>IF((E21*0.6+F21*0.4)&lt;2.5, 2.8, IF((E21*0.6+F21*0.4)&gt;5.5, 5.2, (E21*0.6+F21*0.4)))</f>
        <v/>
      </c>
      <c r="H21" s="15" t="inlineStr">
        <is>
          <t>DODGERS</t>
        </is>
      </c>
      <c r="I21">
        <f>VLOOKUP(H21, 'MLB Data'!$B$5:$D$34, 3, FALSE)</f>
        <v/>
      </c>
      <c r="J21" s="16" t="inlineStr">
        <is>
          <t>SHEEHAN</t>
        </is>
      </c>
      <c r="K21" t="n">
        <v>3.01</v>
      </c>
      <c r="L21" s="17">
        <f>VLOOKUP(H21, 'MLB Data'!$F$2:$H$34, 3, FALSE)</f>
        <v/>
      </c>
      <c r="M21" s="17">
        <f>IF((K21*0.6+L21*0.4)&lt;2.5, 2.8, IF((K21*0.6+L21*0.4)&gt;5.5, 5.2, (K21*0.6+L21*0.4)))</f>
        <v/>
      </c>
      <c r="O21" s="18">
        <f>(C21/100) * 4.45 * (M21 / 4.2) * T21</f>
        <v/>
      </c>
      <c r="P21" s="18">
        <f>(I21/100) * 4.45 * (G21 / 4.2) * T21</f>
        <v/>
      </c>
      <c r="Q21" s="18">
        <f>(O21+P21)</f>
        <v/>
      </c>
      <c r="S21" s="15">
        <f>H21</f>
        <v/>
      </c>
      <c r="T21" s="19">
        <f>IF(S21="ROCKIES",1.13,IF(S21="ATHLETICS",1.03,IF(S21="ROYALS",1.03,IF(S21="TWINS",1,IF(S21="TIGERS",1,IF(S21="MARLINS",1.01,IF(S21="REDS",1.05,IF(S21="RED SOX",1.04,IF(S21="YANKEES",1.02,IF(S21="DODGERS",0.99,IF(S21="PADRES",0.96,IF(S21="CUBS",0.98,IF(S21="GIANTS",0.97,IF(S21="MARINERS",0.94,IF(S21="RANGERS",1,IF(S21="ASTROS",0.99,IF(S21="BRAVES",1,IF(S21="METS",0.96,IF(S21="PHILLIES",1.02,IF(S21="BLUE JAYS",1.01,IF(S21="ORIOLES",0.99,IF(S21="RAYS",1.01,IF(S21="GUARDIANS",0.99,IF(S21="WHITE SOX",0.98,IF(S21="ANGELS",1.01,IF(S21="D-BACKS",1.01,IF(S21="BREWERS",0.99,IF(S21="CARDINALS",0.96,IF(S21="PIRATES",1.02,IF(S21="NATIONALS",1,1))))))))))))))))))))))))))))))*IF(W21="",1,(1+((W21-70)/10*0.035)))*IF(U21="DOME",1,IF(U21="IN",1-(V21*0.01),IF(U21="OUT",1+(V21*0.01),IF(OR(U21="L-R",U21="R-L"),1+(V21*0.005),1))))</f>
        <v/>
      </c>
      <c r="U21" s="15" t="inlineStr">
        <is>
          <t>IN</t>
        </is>
      </c>
      <c r="V21" s="15" t="n"/>
      <c r="W21" s="15" t="n">
        <v>50</v>
      </c>
      <c r="Y21">
        <f>B21 &amp; " vs. " &amp; H21</f>
        <v/>
      </c>
      <c r="Z21">
        <f>TRIM(LEFT(Y21, FIND("vs.", Y21)-1))</f>
        <v/>
      </c>
      <c r="AA21">
        <f>TRIM(MID(Y21, FIND(" vs. ", Y21)+4, 100))</f>
        <v/>
      </c>
      <c r="AB21">
        <f>IF(Q21 &gt; VALUE(AC21), "O " &amp; AC21, IF(Q21 &lt; VALUE(AC21), "U " &amp; AC21, AC21))</f>
        <v/>
      </c>
      <c r="AC21" s="15">
        <f>IF(OR(O21="-", P21="-"), "-", MROUND(O21 + P21, 0.5))</f>
        <v/>
      </c>
      <c r="AD21" s="15">
        <f>VALUE(TRIM(RIGHT(AF21, LEN(AF21) - FIND(" ", AF21))))</f>
        <v/>
      </c>
      <c r="AE21" s="15">
        <f>LEFT(AF21,FIND(" ",AF21)-1)</f>
        <v/>
      </c>
      <c r="AF21" s="15">
        <f>IF(OR(O21="-", P21="-"), "-",
IF(MROUND(ABS(O21-P21),0.5)&lt;=0.5,
IF(O21&gt;P21, B21 &amp; " ML", H21 &amp; " ML"),
IF(MROUND(ABS(O21-P21),0.5)=1,
IF(O21&gt;P21, H21 &amp; " +1.5", B21 &amp; " +1.5"),
IF(O21&gt;P21, B21 &amp; " -1.5", H21 &amp; " -1.5")
)
)
)</f>
        <v/>
      </c>
      <c r="AG21" s="15">
        <f>_xlfn.LET(
_xlpm.winA, O21^1.83 / (O21^1.83 + P21^1.83),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22">
      <c r="A22" s="14" t="n">
        <v>46109</v>
      </c>
      <c r="B22" s="15" t="inlineStr">
        <is>
          <t>RAYS</t>
        </is>
      </c>
      <c r="C22">
        <f>VLOOKUP(B22, 'MLB Data'!$B$5:$D$34, 3, FALSE)</f>
        <v/>
      </c>
      <c r="D22" s="16" t="inlineStr">
        <is>
          <t>BOYLE</t>
        </is>
      </c>
      <c r="E22" s="17" t="n">
        <v>4.38</v>
      </c>
      <c r="F22" s="17">
        <f>VLOOKUP(B22, 'MLB Data'!$F$2:$H$34, 3, FALSE)</f>
        <v/>
      </c>
      <c r="G22" s="17">
        <f>IF((E22*0.6+F22*0.4)&lt;2.5, 2.8, IF((E22*0.6+F22*0.4)&gt;5.5, 5.2, (E22*0.6+F22*0.4)))</f>
        <v/>
      </c>
      <c r="H22" s="15" t="inlineStr">
        <is>
          <t>CARDINALS</t>
        </is>
      </c>
      <c r="I22">
        <f>VLOOKUP(H22, 'MLB Data'!$B$5:$D$34, 3, FALSE)</f>
        <v/>
      </c>
      <c r="J22" s="16" t="inlineStr">
        <is>
          <t>MCGREEVY</t>
        </is>
      </c>
      <c r="K22" t="n">
        <v>4.35</v>
      </c>
      <c r="L22" s="17">
        <f>VLOOKUP(H22, 'MLB Data'!$F$2:$H$34, 3, FALSE)</f>
        <v/>
      </c>
      <c r="M22" s="17">
        <f>IF((K22*0.6+L22*0.4)&lt;2.5, 2.8, IF((K22*0.6+L22*0.4)&gt;5.5, 5.2, (K22*0.6+L22*0.4)))</f>
        <v/>
      </c>
      <c r="O22" s="18">
        <f>(C22/100) * 4.45 * (M22 / 4.2) * T22</f>
        <v/>
      </c>
      <c r="P22" s="18">
        <f>(I22/100) * 4.45 * (G22 / 4.2) * T22</f>
        <v/>
      </c>
      <c r="Q22" s="18">
        <f>(O22+P22)</f>
        <v/>
      </c>
      <c r="S22" s="15">
        <f>H22</f>
        <v/>
      </c>
      <c r="T22" s="19">
        <f>IF(S22="ROCKIES",1.13,IF(S22="ATHLETICS",1.03,IF(S22="ROYALS",1.03,IF(S22="TWINS",1,IF(S22="TIGERS",1,IF(S22="MARLINS",1.01,IF(S22="REDS",1.05,IF(S22="RED SOX",1.04,IF(S22="YANKEES",1.02,IF(S22="DODGERS",0.99,IF(S22="PADRES",0.96,IF(S22="CUBS",0.98,IF(S22="GIANTS",0.97,IF(S22="MARINERS",0.94,IF(S22="RANGERS",1,IF(S22="ASTROS",0.99,IF(S22="BRAVES",1,IF(S22="METS",0.96,IF(S22="PHILLIES",1.02,IF(S22="BLUE JAYS",1.01,IF(S22="ORIOLES",0.99,IF(S22="RAYS",1.01,IF(S22="GUARDIANS",0.99,IF(S22="WHITE SOX",0.98,IF(S22="ANGELS",1.01,IF(S22="D-BACKS",1.01,IF(S22="BREWERS",0.99,IF(S22="CARDINALS",0.96,IF(S22="PIRATES",1.02,IF(S22="NATIONALS",1,1))))))))))))))))))))))))))))))*IF(W22="",1,(1+((W22-70)/10*0.035)))*IF(U22="DOME",1,IF(U22="IN",1-(V22*0.01),IF(U22="OUT",1+(V22*0.01),IF(OR(U22="L-R",U22="R-L"),1+(V22*0.005),1))))</f>
        <v/>
      </c>
      <c r="U22" s="15" t="inlineStr">
        <is>
          <t>R-L</t>
        </is>
      </c>
      <c r="V22" s="15" t="n"/>
      <c r="W22" s="15" t="n">
        <v>51</v>
      </c>
      <c r="Y22">
        <f>B22 &amp; " vs. " &amp; H22</f>
        <v/>
      </c>
      <c r="Z22">
        <f>TRIM(LEFT(Y22, FIND("vs.", Y22)-1))</f>
        <v/>
      </c>
      <c r="AA22">
        <f>TRIM(MID(Y22, FIND(" vs. ", Y22)+4, 100))</f>
        <v/>
      </c>
      <c r="AB22">
        <f>IF(Q22 &gt; VALUE(AC22), "O " &amp; AC22, IF(Q22 &lt; VALUE(AC22), "U " &amp; AC22, AC22))</f>
        <v/>
      </c>
      <c r="AC22" s="15">
        <f>IF(OR(O22="-", P22="-"), "-", MROUND(O22 + P22, 0.5))</f>
        <v/>
      </c>
      <c r="AD22" s="15">
        <f>VALUE(TRIM(RIGHT(AF22, LEN(AF22) - FIND(" ", AF22))))</f>
        <v/>
      </c>
      <c r="AE22" s="15">
        <f>LEFT(AF22,FIND(" ",AF22)-1)</f>
        <v/>
      </c>
      <c r="AF22" s="15">
        <f>IF(OR(O22="-", P22="-"), "-",
IF(MROUND(ABS(O22-P22),0.5)&lt;=0.5,
IF(O22&gt;P22, B22 &amp; " ML", H22 &amp; " ML"),
IF(MROUND(ABS(O22-P22),0.5)=1,
IF(O22&gt;P22, H22 &amp; " +1.5", B22 &amp; " +1.5"),
IF(O22&gt;P22, B22 &amp; " -1.5", H22 &amp; " -1.5")
)
)
)</f>
        <v/>
      </c>
      <c r="AG22" s="15">
        <f>_xlfn.LET(
_xlpm.winA, O22^1.83 / (O22^1.83 + P22^1.83),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23">
      <c r="A23" s="14" t="n">
        <v>46109</v>
      </c>
      <c r="B23" s="15" t="inlineStr">
        <is>
          <t>NATIONALS</t>
        </is>
      </c>
      <c r="C23">
        <f>VLOOKUP(B23, 'MLB Data'!$B$5:$D$34, 3, FALSE)</f>
        <v/>
      </c>
      <c r="D23" s="16" t="inlineStr">
        <is>
          <t>MIKOLAS</t>
        </is>
      </c>
      <c r="E23" s="17" t="n">
        <v>4.83</v>
      </c>
      <c r="F23" s="17">
        <f>VLOOKUP(B23, 'MLB Data'!$F$2:$H$34, 3, FALSE)</f>
        <v/>
      </c>
      <c r="G23" s="17">
        <f>IF((E23*0.6+F23*0.4)&lt;2.5, 2.8, IF((E23*0.6+F23*0.4)&gt;5.5, 5.2, (E23*0.6+F23*0.4)))</f>
        <v/>
      </c>
      <c r="H23" s="15" t="inlineStr">
        <is>
          <t>CUBS</t>
        </is>
      </c>
      <c r="I23">
        <f>VLOOKUP(H23, 'MLB Data'!$B$5:$D$34, 3, FALSE)</f>
        <v/>
      </c>
      <c r="J23" s="16" t="inlineStr">
        <is>
          <t>HORTON</t>
        </is>
      </c>
      <c r="K23" t="n">
        <v>4.31</v>
      </c>
      <c r="L23" s="17">
        <f>VLOOKUP(H23, 'MLB Data'!$F$2:$H$34, 3, FALSE)</f>
        <v/>
      </c>
      <c r="M23" s="17">
        <f>IF((K23*0.6+L23*0.4)&lt;2.5, 2.8, IF((K23*0.6+L23*0.4)&gt;5.5, 5.2, (K23*0.6+L23*0.4)))</f>
        <v/>
      </c>
      <c r="O23" s="18">
        <f>(C23/100) * 4.45 * (M23 / 4.2) * T23</f>
        <v/>
      </c>
      <c r="P23" s="18">
        <f>(I23/100) * 4.45 * (G23 / 4.2) * T23</f>
        <v/>
      </c>
      <c r="Q23" s="18">
        <f>(O23+P23)</f>
        <v/>
      </c>
      <c r="S23" s="15">
        <f>H23</f>
        <v/>
      </c>
      <c r="T23" s="19">
        <f>IF(S23="ROCKIES",1.13,IF(S23="ATHLETICS",1.03,IF(S23="ROYALS",1.03,IF(S23="TWINS",1,IF(S23="TIGERS",1,IF(S23="MARLINS",1.01,IF(S23="REDS",1.05,IF(S23="RED SOX",1.04,IF(S23="YANKEES",1.02,IF(S23="DODGERS",0.99,IF(S23="PADRES",0.96,IF(S23="CUBS",0.98,IF(S23="GIANTS",0.97,IF(S23="MARINERS",0.94,IF(S23="RANGERS",1,IF(S23="ASTROS",0.99,IF(S23="BRAVES",1,IF(S23="METS",0.96,IF(S23="PHILLIES",1.02,IF(S23="BLUE JAYS",1.01,IF(S23="ORIOLES",0.99,IF(S23="RAYS",1.01,IF(S23="GUARDIANS",0.99,IF(S23="WHITE SOX",0.98,IF(S23="ANGELS",1.01,IF(S23="D-BACKS",1.01,IF(S23="BREWERS",0.99,IF(S23="CARDINALS",0.96,IF(S23="PIRATES",1.02,IF(S23="NATIONALS",1,1))))))))))))))))))))))))))))))*IF(W23="",1,(1+((W23-70)/10*0.035)))*IF(U23="DOME",1,IF(U23="IN",1-(V23*0.01),IF(U23="OUT",1+(V23*0.01),IF(OR(U23="L-R",U23="R-L"),1+(V23*0.005),1))))</f>
        <v/>
      </c>
      <c r="U23" s="15" t="inlineStr">
        <is>
          <t>OUT</t>
        </is>
      </c>
      <c r="V23" s="15" t="n"/>
      <c r="W23" s="15" t="n">
        <v>38</v>
      </c>
      <c r="Y23">
        <f>B23 &amp; " vs. " &amp; H23</f>
        <v/>
      </c>
      <c r="Z23">
        <f>TRIM(LEFT(Y23, FIND("vs.", Y23)-1))</f>
        <v/>
      </c>
      <c r="AA23">
        <f>TRIM(MID(Y23, FIND(" vs. ", Y23)+4, 100))</f>
        <v/>
      </c>
      <c r="AB23">
        <f>IF(Q23 &gt; VALUE(AC23), "O " &amp; AC23, IF(Q23 &lt; VALUE(AC23), "U " &amp; AC23, AC23))</f>
        <v/>
      </c>
      <c r="AC23" s="15">
        <f>IF(OR(O23="-", P23="-"), "-", MROUND(O23 + P23, 0.5))</f>
        <v/>
      </c>
      <c r="AD23" s="15">
        <f>VALUE(TRIM(RIGHT(AF23, LEN(AF23) - FIND(" ", AF23))))</f>
        <v/>
      </c>
      <c r="AE23" s="15">
        <f>LEFT(AF23,FIND(" ",AF23)-1)</f>
        <v/>
      </c>
      <c r="AF23" s="15">
        <f>IF(OR(O23="-", P23="-"), "-",
IF(MROUND(ABS(O23-P23),0.5)&lt;=0.5,
IF(O23&gt;P23, B23 &amp; " ML", H23 &amp; " ML"),
IF(MROUND(ABS(O23-P23),0.5)=1,
IF(O23&gt;P23, H23 &amp; " +1.5", B23 &amp; " +1.5"),
IF(O23&gt;P23, B23 &amp; " -1.5", H23 &amp; " -1.5")
)
)
)</f>
        <v/>
      </c>
      <c r="AG23" s="15">
        <f>_xlfn.LET(
_xlpm.winA, O23^1.83 / (O23^1.83 + P23^1.83),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24">
      <c r="A24" s="14" t="n">
        <v>46109</v>
      </c>
      <c r="B24" s="15" t="inlineStr">
        <is>
          <t>ATHLETICS</t>
        </is>
      </c>
      <c r="C24">
        <f>VLOOKUP(B24, 'MLB Data'!$B$5:$D$34, 3, FALSE)</f>
        <v/>
      </c>
      <c r="D24" s="16" t="inlineStr">
        <is>
          <t>SPRINGS</t>
        </is>
      </c>
      <c r="E24" s="17" t="n">
        <v>4.78</v>
      </c>
      <c r="F24" s="17">
        <f>VLOOKUP(B24, 'MLB Data'!$F$2:$H$34, 3, FALSE)</f>
        <v/>
      </c>
      <c r="G24" s="17">
        <f>IF((E24*0.6+F24*0.4)&lt;2.5, 2.8, IF((E24*0.6+F24*0.4)&gt;5.5, 5.2, (E24*0.6+F24*0.4)))</f>
        <v/>
      </c>
      <c r="H24" s="15" t="inlineStr">
        <is>
          <t>BLUE JAYS</t>
        </is>
      </c>
      <c r="I24">
        <f>VLOOKUP(H24, 'MLB Data'!$B$5:$D$34, 3, FALSE)</f>
        <v/>
      </c>
      <c r="J24" s="16" t="inlineStr">
        <is>
          <t>CEASE</t>
        </is>
      </c>
      <c r="K24" t="n">
        <v>3.56</v>
      </c>
      <c r="L24" s="17">
        <f>VLOOKUP(H24, 'MLB Data'!$F$2:$H$34, 3, FALSE)</f>
        <v/>
      </c>
      <c r="M24" s="17">
        <f>IF((K24*0.6+L24*0.4)&lt;2.5, 2.8, IF((K24*0.6+L24*0.4)&gt;5.5, 5.2, (K24*0.6+L24*0.4)))</f>
        <v/>
      </c>
      <c r="O24" s="18">
        <f>(C24/100) * 4.45 * (M24 / 4.2) * T24</f>
        <v/>
      </c>
      <c r="P24" s="18">
        <f>(I24/100) * 4.45 * (G24 / 4.2) * T24</f>
        <v/>
      </c>
      <c r="Q24" s="18">
        <f>(O24+P24)</f>
        <v/>
      </c>
      <c r="S24" s="15">
        <f>H24</f>
        <v/>
      </c>
      <c r="T24" s="19">
        <f>IF(S24="ROCKIES",1.13,IF(S24="ATHLETICS",1.03,IF(S24="ROYALS",1.03,IF(S24="TWINS",1,IF(S24="TIGERS",1,IF(S24="MARLINS",1.01,IF(S24="REDS",1.05,IF(S24="RED SOX",1.04,IF(S24="YANKEES",1.02,IF(S24="DODGERS",0.99,IF(S24="PADRES",0.96,IF(S24="CUBS",0.98,IF(S24="GIANTS",0.97,IF(S24="MARINERS",0.94,IF(S24="RANGERS",1,IF(S24="ASTROS",0.99,IF(S24="BRAVES",1,IF(S24="METS",0.96,IF(S24="PHILLIES",1.02,IF(S24="BLUE JAYS",1.01,IF(S24="ORIOLES",0.99,IF(S24="RAYS",1.01,IF(S24="GUARDIANS",0.99,IF(S24="WHITE SOX",0.98,IF(S24="ANGELS",1.01,IF(S24="D-BACKS",1.01,IF(S24="BREWERS",0.99,IF(S24="CARDINALS",0.96,IF(S24="PIRATES",1.02,IF(S24="NATIONALS",1,1))))))))))))))))))))))))))))))*IF(W24="",1,(1+((W24-70)/10*0.035)))*IF(U24="DOME",1,IF(U24="IN",1-(V24*0.01),IF(U24="OUT",1+(V24*0.01),IF(OR(U24="L-R",U24="R-L"),1+(V24*0.005),1))))</f>
        <v/>
      </c>
      <c r="U24" s="15" t="inlineStr">
        <is>
          <t>DOME</t>
        </is>
      </c>
      <c r="V24" s="15" t="n"/>
      <c r="W24" s="15" t="n"/>
      <c r="Y24">
        <f>B24 &amp; " vs. " &amp; H24</f>
        <v/>
      </c>
      <c r="Z24">
        <f>TRIM(LEFT(Y24, FIND("vs.", Y24)-1))</f>
        <v/>
      </c>
      <c r="AA24">
        <f>TRIM(MID(Y24, FIND(" vs. ", Y24)+4, 100))</f>
        <v/>
      </c>
      <c r="AB24">
        <f>IF(Q24 &gt; VALUE(AC24), "O " &amp; AC24, IF(Q24 &lt; VALUE(AC24), "U " &amp; AC24, AC24))</f>
        <v/>
      </c>
      <c r="AC24" s="15">
        <f>IF(OR(O24="-", P24="-"), "-", MROUND(O24 + P24, 0.5))</f>
        <v/>
      </c>
      <c r="AD24" s="15">
        <f>VALUE(TRIM(RIGHT(AF24, LEN(AF24) - FIND(" ", AF24))))</f>
        <v/>
      </c>
      <c r="AE24" s="15">
        <f>LEFT(AF24,FIND(" ",AF24)-1)</f>
        <v/>
      </c>
      <c r="AF24" s="15">
        <f>IF(OR(O24="-", P24="-"), "-",
IF(MROUND(ABS(O24-P24),0.5)&lt;=0.5,
IF(O24&gt;P24, B24 &amp; " ML", H24 &amp; " ML"),
IF(MROUND(ABS(O24-P24),0.5)=1,
IF(O24&gt;P24, H24 &amp; " +1.5", B24 &amp; " +1.5"),
IF(O24&gt;P24, B24 &amp; " -1.5", H24 &amp; " -1.5")
)
)
)</f>
        <v/>
      </c>
      <c r="AG24" s="15">
        <f>_xlfn.LET(
_xlpm.winA, O24^1.83 / (O24^1.83 + P24^1.83),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25">
      <c r="A25" s="14" t="n">
        <v>46109</v>
      </c>
      <c r="B25" s="15" t="inlineStr">
        <is>
          <t>TWINS</t>
        </is>
      </c>
      <c r="C25">
        <f>VLOOKUP(B25, 'MLB Data'!$B$5:$D$34, 3, FALSE)</f>
        <v/>
      </c>
      <c r="D25" s="16" t="inlineStr">
        <is>
          <t>BRADLEY</t>
        </is>
      </c>
      <c r="E25" s="17" t="n">
        <v>4.37</v>
      </c>
      <c r="F25" s="17">
        <f>VLOOKUP(B25, 'MLB Data'!$F$2:$H$34, 3, FALSE)</f>
        <v/>
      </c>
      <c r="G25" s="17">
        <f>IF((E25*0.6+F25*0.4)&lt;2.5, 2.8, IF((E25*0.6+F25*0.4)&gt;5.5, 5.2, (E25*0.6+F25*0.4)))</f>
        <v/>
      </c>
      <c r="H25" s="15" t="inlineStr">
        <is>
          <t>ORIOLES</t>
        </is>
      </c>
      <c r="I25">
        <f>VLOOKUP(H25, 'MLB Data'!$B$5:$D$34, 3, FALSE)</f>
        <v/>
      </c>
      <c r="J25" s="16" t="inlineStr">
        <is>
          <t>BRADISH</t>
        </is>
      </c>
      <c r="K25" t="n">
        <v>2.67</v>
      </c>
      <c r="L25" s="17">
        <f>VLOOKUP(H25, 'MLB Data'!$F$2:$H$34, 3, FALSE)</f>
        <v/>
      </c>
      <c r="M25" s="17">
        <f>IF((K25*0.6+L25*0.4)&lt;2.5, 2.8, IF((K25*0.6+L25*0.4)&gt;5.5, 5.2, (K25*0.6+L25*0.4)))</f>
        <v/>
      </c>
      <c r="O25" s="18">
        <f>(C25/100) * 4.45 * (M25 / 4.2) * T25</f>
        <v/>
      </c>
      <c r="P25" s="18">
        <f>(I25/100) * 4.45 * (G25 / 4.2) * T25</f>
        <v/>
      </c>
      <c r="Q25" s="18">
        <f>(O25+P25)</f>
        <v/>
      </c>
      <c r="S25" s="15">
        <f>H25</f>
        <v/>
      </c>
      <c r="T25" s="19">
        <f>IF(S25="ROCKIES",1.13,IF(S25="ATHLETICS",1.03,IF(S25="ROYALS",1.03,IF(S25="TWINS",1,IF(S25="TIGERS",1,IF(S25="MARLINS",1.01,IF(S25="REDS",1.05,IF(S25="RED SOX",1.04,IF(S25="YANKEES",1.02,IF(S25="DODGERS",0.99,IF(S25="PADRES",0.96,IF(S25="CUBS",0.98,IF(S25="GIANTS",0.97,IF(S25="MARINERS",0.94,IF(S25="RANGERS",1,IF(S25="ASTROS",0.99,IF(S25="BRAVES",1,IF(S25="METS",0.96,IF(S25="PHILLIES",1.02,IF(S25="BLUE JAYS",1.01,IF(S25="ORIOLES",0.99,IF(S25="RAYS",1.01,IF(S25="GUARDIANS",0.99,IF(S25="WHITE SOX",0.98,IF(S25="ANGELS",1.01,IF(S25="D-BACKS",1.01,IF(S25="BREWERS",0.99,IF(S25="CARDINALS",0.96,IF(S25="PIRATES",1.02,IF(S25="NATIONALS",1,1))))))))))))))))))))))))))))))*IF(W25="",1,(1+((W25-70)/10*0.035)))*IF(U25="DOME",1,IF(U25="IN",1-(V25*0.01),IF(U25="OUT",1+(V25*0.01),IF(OR(U25="L-R",U25="R-L"),1+(V25*0.005),1))))</f>
        <v/>
      </c>
      <c r="U25" s="15" t="inlineStr">
        <is>
          <t>L-R</t>
        </is>
      </c>
      <c r="V25" s="15" t="n"/>
      <c r="W25" s="15" t="n">
        <v>48</v>
      </c>
      <c r="Y25">
        <f>B25 &amp; " vs. " &amp; H25</f>
        <v/>
      </c>
      <c r="Z25">
        <f>TRIM(LEFT(Y25, FIND("vs.", Y25)-1))</f>
        <v/>
      </c>
      <c r="AA25">
        <f>TRIM(MID(Y25, FIND(" vs. ", Y25)+4, 100))</f>
        <v/>
      </c>
      <c r="AB25">
        <f>IF(Q25 &gt; VALUE(AC25), "O " &amp; AC25, IF(Q25 &lt; VALUE(AC25), "U " &amp; AC25, AC25))</f>
        <v/>
      </c>
      <c r="AC25" s="15">
        <f>IF(OR(O25="-", P25="-"), "-", MROUND(O25 + P25, 0.5))</f>
        <v/>
      </c>
      <c r="AD25" s="15">
        <f>VALUE(TRIM(RIGHT(AF25, LEN(AF25) - FIND(" ", AF25))))</f>
        <v/>
      </c>
      <c r="AE25" s="15">
        <f>LEFT(AF25,FIND(" ",AF25)-1)</f>
        <v/>
      </c>
      <c r="AF25" s="15">
        <f>IF(OR(O25="-", P25="-"), "-",
IF(MROUND(ABS(O25-P25),0.5)&lt;=0.5,
IF(O25&gt;P25, B25 &amp; " ML", H25 &amp; " ML"),
IF(MROUND(ABS(O25-P25),0.5)=1,
IF(O25&gt;P25, H25 &amp; " +1.5", B25 &amp; " +1.5"),
IF(O25&gt;P25, B25 &amp; " -1.5", H25 &amp; " -1.5")
)
)
)</f>
        <v/>
      </c>
      <c r="AG25" s="15">
        <f>_xlfn.LET(
_xlpm.winA, O25^1.83 / (O25^1.83 + P25^1.83),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26">
      <c r="A26" s="14" t="n">
        <v>46109</v>
      </c>
      <c r="B26" s="15" t="inlineStr">
        <is>
          <t>RANGERS</t>
        </is>
      </c>
      <c r="C26">
        <f>VLOOKUP(B26, 'MLB Data'!$B$5:$D$34, 3, FALSE)</f>
        <v/>
      </c>
      <c r="D26" s="16" t="inlineStr">
        <is>
          <t>LATZ</t>
        </is>
      </c>
      <c r="E26" s="17" t="n">
        <v>4.11</v>
      </c>
      <c r="F26" s="17">
        <f>VLOOKUP(B26, 'MLB Data'!$F$2:$H$34, 3, FALSE)</f>
        <v/>
      </c>
      <c r="G26" s="17">
        <f>IF((E26*0.6+F26*0.4)&lt;2.5, 2.8, IF((E26*0.6+F26*0.4)&gt;5.5, 5.2, (E26*0.6+F26*0.4)))</f>
        <v/>
      </c>
      <c r="H26" s="15" t="inlineStr">
        <is>
          <t>PHILLIES</t>
        </is>
      </c>
      <c r="I26">
        <f>VLOOKUP(H26, 'MLB Data'!$B$5:$D$34, 3, FALSE)</f>
        <v/>
      </c>
      <c r="J26" s="16" t="inlineStr">
        <is>
          <t>NOLA</t>
        </is>
      </c>
      <c r="K26" t="n">
        <v>3.71</v>
      </c>
      <c r="L26" s="17">
        <f>VLOOKUP(H26, 'MLB Data'!$F$2:$H$34, 3, FALSE)</f>
        <v/>
      </c>
      <c r="M26" s="17">
        <f>IF((K26*0.6+L26*0.4)&lt;2.5, 2.8, IF((K26*0.6+L26*0.4)&gt;5.5, 5.2, (K26*0.6+L26*0.4)))</f>
        <v/>
      </c>
      <c r="O26" s="18">
        <f>(C26/100) * 4.45 * (M26 / 4.2) * T26</f>
        <v/>
      </c>
      <c r="P26" s="18">
        <f>(I26/100) * 4.45 * (G26 / 4.2) * T26</f>
        <v/>
      </c>
      <c r="Q26" s="18">
        <f>(O26+P26)</f>
        <v/>
      </c>
      <c r="S26" s="15">
        <f>H26</f>
        <v/>
      </c>
      <c r="T26" s="19">
        <f>IF(S26="ROCKIES",1.13,IF(S26="ATHLETICS",1.03,IF(S26="ROYALS",1.03,IF(S26="TWINS",1,IF(S26="TIGERS",1,IF(S26="MARLINS",1.01,IF(S26="REDS",1.05,IF(S26="RED SOX",1.04,IF(S26="YANKEES",1.02,IF(S26="DODGERS",0.99,IF(S26="PADRES",0.96,IF(S26="CUBS",0.98,IF(S26="GIANTS",0.97,IF(S26="MARINERS",0.94,IF(S26="RANGERS",1,IF(S26="ASTROS",0.99,IF(S26="BRAVES",1,IF(S26="METS",0.96,IF(S26="PHILLIES",1.02,IF(S26="BLUE JAYS",1.01,IF(S26="ORIOLES",0.99,IF(S26="RAYS",1.01,IF(S26="GUARDIANS",0.99,IF(S26="WHITE SOX",0.98,IF(S26="ANGELS",1.01,IF(S26="D-BACKS",1.01,IF(S26="BREWERS",0.99,IF(S26="CARDINALS",0.96,IF(S26="PIRATES",1.02,IF(S26="NATIONALS",1,1))))))))))))))))))))))))))))))*IF(W26="",1,(1+((W26-70)/10*0.035)))*IF(U26="DOME",1,IF(U26="IN",1-(V26*0.01),IF(U26="OUT",1+(V26*0.01),IF(OR(U26="L-R",U26="R-L"),1+(V26*0.005),1))))</f>
        <v/>
      </c>
      <c r="U26" s="15" t="inlineStr">
        <is>
          <t>L-R</t>
        </is>
      </c>
      <c r="V26" s="15" t="n"/>
      <c r="W26" s="15" t="n">
        <v>47</v>
      </c>
      <c r="Y26">
        <f>B26 &amp; " vs. " &amp; H26</f>
        <v/>
      </c>
      <c r="Z26">
        <f>TRIM(LEFT(Y26, FIND("vs.", Y26)-1))</f>
        <v/>
      </c>
      <c r="AA26">
        <f>TRIM(MID(Y26, FIND(" vs. ", Y26)+4, 100))</f>
        <v/>
      </c>
      <c r="AB26">
        <f>IF(Q26 &gt; VALUE(AC26), "O " &amp; AC26, IF(Q26 &lt; VALUE(AC26), "U " &amp; AC26, AC26))</f>
        <v/>
      </c>
      <c r="AC26" s="15">
        <f>IF(OR(O26="-", P26="-"), "-", MROUND(O26 + P26, 0.5))</f>
        <v/>
      </c>
      <c r="AD26" s="15">
        <f>VALUE(TRIM(RIGHT(AF26, LEN(AF26) - FIND(" ", AF26))))</f>
        <v/>
      </c>
      <c r="AE26" s="15">
        <f>LEFT(AF26,FIND(" ",AF26)-1)</f>
        <v/>
      </c>
      <c r="AF26" s="15">
        <f>IF(OR(O26="-", P26="-"), "-",
IF(MROUND(ABS(O26-P26),0.5)&lt;=0.5,
IF(O26&gt;P26, B26 &amp; " ML", H26 &amp; " ML"),
IF(MROUND(ABS(O26-P26),0.5)=1,
IF(O26&gt;P26, H26 &amp; " +1.5", B26 &amp; " +1.5"),
IF(O26&gt;P26, B26 &amp; " -1.5", H26 &amp; " -1.5")
)
)
)</f>
        <v/>
      </c>
      <c r="AG26" s="15">
        <f>_xlfn.LET(
_xlpm.winA, O26^1.83 / (O26^1.83 + P26^1.83),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27">
      <c r="A27" s="14" t="n">
        <v>46109</v>
      </c>
      <c r="B27" s="15" t="inlineStr">
        <is>
          <t>RED SOX</t>
        </is>
      </c>
      <c r="C27">
        <f>VLOOKUP(B27, 'MLB Data'!$B$5:$D$34, 3, FALSE)</f>
        <v/>
      </c>
      <c r="D27" s="16" t="inlineStr">
        <is>
          <t>GRAY</t>
        </is>
      </c>
      <c r="E27" s="17" t="n">
        <v>3.07</v>
      </c>
      <c r="F27" s="17">
        <f>VLOOKUP(B27, 'MLB Data'!$F$2:$H$34, 3, FALSE)</f>
        <v/>
      </c>
      <c r="G27" s="17">
        <f>IF((E27*0.6+F27*0.4)&lt;2.5, 2.8, IF((E27*0.6+F27*0.4)&gt;5.5, 5.2, (E27*0.6+F27*0.4)))</f>
        <v/>
      </c>
      <c r="H27" s="15" t="inlineStr">
        <is>
          <t>REDS</t>
        </is>
      </c>
      <c r="I27">
        <f>VLOOKUP(H27, 'MLB Data'!$B$5:$D$34, 3, FALSE)</f>
        <v/>
      </c>
      <c r="J27" s="16" t="inlineStr">
        <is>
          <t>SINGER</t>
        </is>
      </c>
      <c r="K27" t="n">
        <v>4.25</v>
      </c>
      <c r="L27" s="17">
        <f>VLOOKUP(H27, 'MLB Data'!$F$2:$H$34, 3, FALSE)</f>
        <v/>
      </c>
      <c r="M27" s="17">
        <f>IF((K27*0.6+L27*0.4)&lt;2.5, 2.8, IF((K27*0.6+L27*0.4)&gt;5.5, 5.2, (K27*0.6+L27*0.4)))</f>
        <v/>
      </c>
      <c r="O27" s="18">
        <f>(C27/100) * 4.45 * (M27 / 4.2) * T27</f>
        <v/>
      </c>
      <c r="P27" s="18">
        <f>(I27/100) * 4.45 * (G27 / 4.2) * T27</f>
        <v/>
      </c>
      <c r="Q27" s="18">
        <f>(O27+P27)</f>
        <v/>
      </c>
      <c r="S27" s="15">
        <f>H27</f>
        <v/>
      </c>
      <c r="T27" s="19">
        <f>IF(S27="ROCKIES",1.13,IF(S27="ATHLETICS",1.03,IF(S27="ROYALS",1.03,IF(S27="TWINS",1,IF(S27="TIGERS",1,IF(S27="MARLINS",1.01,IF(S27="REDS",1.05,IF(S27="RED SOX",1.04,IF(S27="YANKEES",1.02,IF(S27="DODGERS",0.99,IF(S27="PADRES",0.96,IF(S27="CUBS",0.98,IF(S27="GIANTS",0.97,IF(S27="MARINERS",0.94,IF(S27="RANGERS",1,IF(S27="ASTROS",0.99,IF(S27="BRAVES",1,IF(S27="METS",0.96,IF(S27="PHILLIES",1.02,IF(S27="BLUE JAYS",1.01,IF(S27="ORIOLES",0.99,IF(S27="RAYS",1.01,IF(S27="GUARDIANS",0.99,IF(S27="WHITE SOX",0.98,IF(S27="ANGELS",1.01,IF(S27="D-BACKS",1.01,IF(S27="BREWERS",0.99,IF(S27="CARDINALS",0.96,IF(S27="PIRATES",1.02,IF(S27="NATIONALS",1,1))))))))))))))))))))))))))))))*IF(W27="",1,(1+((W27-70)/10*0.035)))*IF(U27="DOME",1,IF(U27="IN",1-(V27*0.01),IF(U27="OUT",1+(V27*0.01),IF(OR(U27="L-R",U27="R-L"),1+(V27*0.005),1))))</f>
        <v/>
      </c>
      <c r="U27" s="15" t="inlineStr">
        <is>
          <t>IN</t>
        </is>
      </c>
      <c r="V27" s="15" t="n"/>
      <c r="W27" s="15" t="n">
        <v>50</v>
      </c>
      <c r="Y27">
        <f>B27 &amp; " vs. " &amp; H27</f>
        <v/>
      </c>
      <c r="Z27">
        <f>TRIM(LEFT(Y27, FIND("vs.", Y27)-1))</f>
        <v/>
      </c>
      <c r="AA27">
        <f>TRIM(MID(Y27, FIND(" vs. ", Y27)+4, 100))</f>
        <v/>
      </c>
      <c r="AB27">
        <f>IF(Q27 &gt; VALUE(AC27), "O " &amp; AC27, IF(Q27 &lt; VALUE(AC27), "U " &amp; AC27, AC27))</f>
        <v/>
      </c>
      <c r="AC27" s="15">
        <f>IF(OR(O27="-", P27="-"), "-", MROUND(O27 + P27, 0.5))</f>
        <v/>
      </c>
      <c r="AD27" s="15">
        <f>VALUE(TRIM(RIGHT(AF27, LEN(AF27) - FIND(" ", AF27))))</f>
        <v/>
      </c>
      <c r="AE27" s="15">
        <f>LEFT(AF27,FIND(" ",AF27)-1)</f>
        <v/>
      </c>
      <c r="AF27" s="15">
        <f>IF(OR(O27="-", P27="-"), "-",
IF(MROUND(ABS(O27-P27),0.5)&lt;=0.5,
IF(O27&gt;P27, B27 &amp; " ML", H27 &amp; " ML"),
IF(MROUND(ABS(O27-P27),0.5)=1,
IF(O27&gt;P27, H27 &amp; " +1.5", B27 &amp; " +1.5"),
IF(O27&gt;P27, B27 &amp; " -1.5", H27 &amp; " -1.5")
)
)
)</f>
        <v/>
      </c>
      <c r="AG27" s="15">
        <f>_xlfn.LET(
_xlpm.winA, O27^1.83 / (O27^1.83 + P27^1.83),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28">
      <c r="A28" s="14" t="n">
        <v>46109</v>
      </c>
      <c r="B28" s="15" t="inlineStr">
        <is>
          <t>PIRATES</t>
        </is>
      </c>
      <c r="C28">
        <f>VLOOKUP(B28, 'MLB Data'!$B$5:$D$34, 3, FALSE)</f>
        <v/>
      </c>
      <c r="D28" s="16" t="inlineStr">
        <is>
          <t>KELLER</t>
        </is>
      </c>
      <c r="E28" s="17" t="n">
        <v>4.17</v>
      </c>
      <c r="F28" s="17">
        <f>VLOOKUP(B28, 'MLB Data'!$F$2:$H$34, 3, FALSE)</f>
        <v/>
      </c>
      <c r="G28" s="17">
        <f>IF((E28*0.6+F28*0.4)&lt;2.5, 2.8, IF((E28*0.6+F28*0.4)&gt;5.5, 5.2, (E28*0.6+F28*0.4)))</f>
        <v/>
      </c>
      <c r="H28" s="15" t="inlineStr">
        <is>
          <t>METS</t>
        </is>
      </c>
      <c r="I28">
        <f>VLOOKUP(H28, 'MLB Data'!$B$5:$D$34, 3, FALSE)</f>
        <v/>
      </c>
      <c r="J28" s="16" t="inlineStr">
        <is>
          <t>PETERSON</t>
        </is>
      </c>
      <c r="K28" t="n">
        <v>3.72</v>
      </c>
      <c r="L28" s="17">
        <f>VLOOKUP(H28, 'MLB Data'!$F$2:$H$34, 3, FALSE)</f>
        <v/>
      </c>
      <c r="M28" s="17">
        <f>IF((K28*0.6+L28*0.4)&lt;2.5, 2.8, IF((K28*0.6+L28*0.4)&gt;5.5, 5.2, (K28*0.6+L28*0.4)))</f>
        <v/>
      </c>
      <c r="O28" s="18">
        <f>(C28/100) * 4.45 * (M28 / 4.2) * T28</f>
        <v/>
      </c>
      <c r="P28" s="18">
        <f>(I28/100) * 4.45 * (G28 / 4.2) * T28</f>
        <v/>
      </c>
      <c r="Q28" s="18">
        <f>(O28+P28)</f>
        <v/>
      </c>
      <c r="S28" s="15">
        <f>H28</f>
        <v/>
      </c>
      <c r="T28" s="19">
        <f>IF(S28="ROCKIES",1.13,IF(S28="ATHLETICS",1.03,IF(S28="ROYALS",1.03,IF(S28="TWINS",1,IF(S28="TIGERS",1,IF(S28="MARLINS",1.01,IF(S28="REDS",1.05,IF(S28="RED SOX",1.04,IF(S28="YANKEES",1.02,IF(S28="DODGERS",0.99,IF(S28="PADRES",0.96,IF(S28="CUBS",0.98,IF(S28="GIANTS",0.97,IF(S28="MARINERS",0.94,IF(S28="RANGERS",1,IF(S28="ASTROS",0.99,IF(S28="BRAVES",1,IF(S28="METS",0.96,IF(S28="PHILLIES",1.02,IF(S28="BLUE JAYS",1.01,IF(S28="ORIOLES",0.99,IF(S28="RAYS",1.01,IF(S28="GUARDIANS",0.99,IF(S28="WHITE SOX",0.98,IF(S28="ANGELS",1.01,IF(S28="D-BACKS",1.01,IF(S28="BREWERS",0.99,IF(S28="CARDINALS",0.96,IF(S28="PIRATES",1.02,IF(S28="NATIONALS",1,1))))))))))))))))))))))))))))))*IF(W28="",1,(1+((W28-70)/10*0.035)))*IF(U28="DOME",1,IF(U28="IN",1-(V28*0.01),IF(U28="OUT",1+(V28*0.01),IF(OR(U28="L-R",U28="R-L"),1+(V28*0.005),1))))</f>
        <v/>
      </c>
      <c r="U28" s="15" t="inlineStr">
        <is>
          <t>L-R</t>
        </is>
      </c>
      <c r="V28" s="15" t="n"/>
      <c r="W28" s="15" t="n">
        <v>44</v>
      </c>
      <c r="Y28">
        <f>B28 &amp; " vs. " &amp; H28</f>
        <v/>
      </c>
      <c r="Z28">
        <f>TRIM(LEFT(Y28, FIND("vs.", Y28)-1))</f>
        <v/>
      </c>
      <c r="AA28">
        <f>TRIM(MID(Y28, FIND(" vs. ", Y28)+4, 100))</f>
        <v/>
      </c>
      <c r="AB28">
        <f>IF(Q28 &gt; VALUE(AC28), "O " &amp; AC28, IF(Q28 &lt; VALUE(AC28), "U " &amp; AC28, AC28))</f>
        <v/>
      </c>
      <c r="AC28" s="15">
        <f>IF(OR(O28="-", P28="-"), "-", MROUND(O28 + P28, 0.5))</f>
        <v/>
      </c>
      <c r="AD28" s="15">
        <f>VALUE(TRIM(RIGHT(AF28, LEN(AF28) - FIND(" ", AF28))))</f>
        <v/>
      </c>
      <c r="AE28" s="15">
        <f>LEFT(AF28,FIND(" ",AF28)-1)</f>
        <v/>
      </c>
      <c r="AF28" s="15">
        <f>IF(OR(O28="-", P28="-"), "-",
IF(MROUND(ABS(O28-P28),0.5)&lt;=0.5,
IF(O28&gt;P28, B28 &amp; " ML", H28 &amp; " ML"),
IF(MROUND(ABS(O28-P28),0.5)=1,
IF(O28&gt;P28, H28 &amp; " +1.5", B28 &amp; " +1.5"),
IF(O28&gt;P28, B28 &amp; " -1.5", H28 &amp; " -1.5")
)
)
)</f>
        <v/>
      </c>
      <c r="AG28" s="15">
        <f>_xlfn.LET(
_xlpm.winA, O28^1.83 / (O28^1.83 + P28^1.83),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29">
      <c r="A29" s="14" t="n">
        <v>46109</v>
      </c>
      <c r="B29" s="15" t="inlineStr">
        <is>
          <t>ROCKIES</t>
        </is>
      </c>
      <c r="C29">
        <f>VLOOKUP(B29, 'MLB Data'!$B$5:$D$34, 3, FALSE)</f>
        <v/>
      </c>
      <c r="D29" s="16" t="inlineStr">
        <is>
          <t>LORENZEN</t>
        </is>
      </c>
      <c r="E29" s="17" t="n">
        <v>4.25</v>
      </c>
      <c r="F29" s="17">
        <f>VLOOKUP(B29, 'MLB Data'!$F$2:$H$34, 3, FALSE)</f>
        <v/>
      </c>
      <c r="G29" s="17">
        <f>IF((E29*0.6+F29*0.4)&lt;2.5, 2.8, IF((E29*0.6+F29*0.4)&gt;5.5, 5.2, (E29*0.6+F29*0.4)))</f>
        <v/>
      </c>
      <c r="H29" s="15" t="inlineStr">
        <is>
          <t>MARLINS</t>
        </is>
      </c>
      <c r="I29">
        <f>VLOOKUP(H29, 'MLB Data'!$B$5:$D$34, 3, FALSE)</f>
        <v/>
      </c>
      <c r="J29" s="16" t="inlineStr">
        <is>
          <t>PEREZ</t>
        </is>
      </c>
      <c r="K29" t="n">
        <v>4.07</v>
      </c>
      <c r="L29" s="17">
        <f>VLOOKUP(H29, 'MLB Data'!$F$2:$H$34, 3, FALSE)</f>
        <v/>
      </c>
      <c r="M29" s="17">
        <f>IF((K29*0.6+L29*0.4)&lt;2.5, 2.8, IF((K29*0.6+L29*0.4)&gt;5.5, 5.2, (K29*0.6+L29*0.4)))</f>
        <v/>
      </c>
      <c r="O29" s="18">
        <f>(C29/100) * 4.45 * (M29 / 4.2) * T29</f>
        <v/>
      </c>
      <c r="P29" s="18">
        <f>(I29/100) * 4.45 * (G29 / 4.2) * T29</f>
        <v/>
      </c>
      <c r="Q29" s="18">
        <f>(O29+P29)</f>
        <v/>
      </c>
      <c r="S29" s="15">
        <f>H29</f>
        <v/>
      </c>
      <c r="T29" s="19">
        <f>IF(S29="ROCKIES",1.13,IF(S29="ATHLETICS",1.03,IF(S29="ROYALS",1.03,IF(S29="TWINS",1,IF(S29="TIGERS",1,IF(S29="MARLINS",1.01,IF(S29="REDS",1.05,IF(S29="RED SOX",1.04,IF(S29="YANKEES",1.02,IF(S29="DODGERS",0.99,IF(S29="PADRES",0.96,IF(S29="CUBS",0.98,IF(S29="GIANTS",0.97,IF(S29="MARINERS",0.94,IF(S29="RANGERS",1,IF(S29="ASTROS",0.99,IF(S29="BRAVES",1,IF(S29="METS",0.96,IF(S29="PHILLIES",1.02,IF(S29="BLUE JAYS",1.01,IF(S29="ORIOLES",0.99,IF(S29="RAYS",1.01,IF(S29="GUARDIANS",0.99,IF(S29="WHITE SOX",0.98,IF(S29="ANGELS",1.01,IF(S29="D-BACKS",1.01,IF(S29="BREWERS",0.99,IF(S29="CARDINALS",0.96,IF(S29="PIRATES",1.02,IF(S29="NATIONALS",1,1))))))))))))))))))))))))))))))*IF(W29="",1,(1+((W29-70)/10*0.035)))*IF(U29="DOME",1,IF(U29="IN",1-(V29*0.01),IF(U29="OUT",1+(V29*0.01),IF(OR(U29="L-R",U29="R-L"),1+(V29*0.005),1))))</f>
        <v/>
      </c>
      <c r="U29" s="15" t="inlineStr">
        <is>
          <t>DOME</t>
        </is>
      </c>
      <c r="V29" s="15" t="n"/>
      <c r="W29" s="15" t="n"/>
      <c r="Y29">
        <f>B29 &amp; " vs. " &amp; H29</f>
        <v/>
      </c>
      <c r="Z29">
        <f>TRIM(LEFT(Y29, FIND("vs.", Y29)-1))</f>
        <v/>
      </c>
      <c r="AA29">
        <f>TRIM(MID(Y29, FIND(" vs. ", Y29)+4, 100))</f>
        <v/>
      </c>
      <c r="AB29">
        <f>IF(Q29 &gt; VALUE(AC29), "O " &amp; AC29, IF(Q29 &lt; VALUE(AC29), "U " &amp; AC29, AC29))</f>
        <v/>
      </c>
      <c r="AC29" s="15">
        <f>IF(OR(O29="-", P29="-"), "-", MROUND(O29 + P29, 0.5))</f>
        <v/>
      </c>
      <c r="AD29" s="15">
        <f>VALUE(TRIM(RIGHT(AF29, LEN(AF29) - FIND(" ", AF29))))</f>
        <v/>
      </c>
      <c r="AE29" s="15">
        <f>LEFT(AF29,FIND(" ",AF29)-1)</f>
        <v/>
      </c>
      <c r="AF29" s="15">
        <f>IF(OR(O29="-", P29="-"), "-",
IF(MROUND(ABS(O29-P29),0.5)&lt;=0.5,
IF(O29&gt;P29, B29 &amp; " ML", H29 &amp; " ML"),
IF(MROUND(ABS(O29-P29),0.5)=1,
IF(O29&gt;P29, H29 &amp; " +1.5", B29 &amp; " +1.5"),
IF(O29&gt;P29, B29 &amp; " -1.5", H29 &amp; " -1.5")
)
)
)</f>
        <v/>
      </c>
      <c r="AG29" s="15">
        <f>_xlfn.LET(
_xlpm.winA, O29^1.83 / (O29^1.83 + P29^1.83),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0">
      <c r="A30" s="14" t="n">
        <v>46109</v>
      </c>
      <c r="B30" s="15" t="inlineStr">
        <is>
          <t>ANGELS</t>
        </is>
      </c>
      <c r="C30">
        <f>VLOOKUP(B30, 'MLB Data'!$B$5:$D$34, 3, FALSE)</f>
        <v/>
      </c>
      <c r="D30" s="16" t="inlineStr">
        <is>
          <t>DETMERS</t>
        </is>
      </c>
      <c r="E30" s="17" t="n">
        <v>3.08</v>
      </c>
      <c r="F30" s="17">
        <f>VLOOKUP(B30, 'MLB Data'!$F$2:$H$34, 3, FALSE)</f>
        <v/>
      </c>
      <c r="G30" s="17">
        <f>IF((E30*0.6+F30*0.4)&lt;2.5, 2.8, IF((E30*0.6+F30*0.4)&gt;5.5, 5.2, (E30*0.6+F30*0.4)))</f>
        <v/>
      </c>
      <c r="H30" s="15" t="inlineStr">
        <is>
          <t>ASTROS</t>
        </is>
      </c>
      <c r="I30">
        <f>VLOOKUP(H30, 'MLB Data'!$B$5:$D$34, 3, FALSE)</f>
        <v/>
      </c>
      <c r="J30" s="16" t="inlineStr">
        <is>
          <t>JAVIER</t>
        </is>
      </c>
      <c r="K30" t="n">
        <v>4.97</v>
      </c>
      <c r="L30" s="17">
        <f>VLOOKUP(H30, 'MLB Data'!$F$2:$H$34, 3, FALSE)</f>
        <v/>
      </c>
      <c r="M30" s="17">
        <f>IF((K30*0.6+L30*0.4)&lt;2.5, 2.8, IF((K30*0.6+L30*0.4)&gt;5.5, 5.2, (K30*0.6+L30*0.4)))</f>
        <v/>
      </c>
      <c r="O30" s="18">
        <f>(C30/100) * 4.45 * (M30 / 4.2) * T30</f>
        <v/>
      </c>
      <c r="P30" s="18">
        <f>(I30/100) * 4.45 * (G30 / 4.2) * T30</f>
        <v/>
      </c>
      <c r="Q30" s="18">
        <f>(O30+P30)</f>
        <v/>
      </c>
      <c r="S30" s="15">
        <f>H30</f>
        <v/>
      </c>
      <c r="T30" s="19">
        <f>IF(S30="ROCKIES",1.13,IF(S30="ATHLETICS",1.03,IF(S30="ROYALS",1.03,IF(S30="TWINS",1,IF(S30="TIGERS",1,IF(S30="MARLINS",1.01,IF(S30="REDS",1.05,IF(S30="RED SOX",1.04,IF(S30="YANKEES",1.02,IF(S30="DODGERS",0.99,IF(S30="PADRES",0.96,IF(S30="CUBS",0.98,IF(S30="GIANTS",0.97,IF(S30="MARINERS",0.94,IF(S30="RANGERS",1,IF(S30="ASTROS",0.99,IF(S30="BRAVES",1,IF(S30="METS",0.96,IF(S30="PHILLIES",1.02,IF(S30="BLUE JAYS",1.01,IF(S30="ORIOLES",0.99,IF(S30="RAYS",1.01,IF(S30="GUARDIANS",0.99,IF(S30="WHITE SOX",0.98,IF(S30="ANGELS",1.01,IF(S30="D-BACKS",1.01,IF(S30="BREWERS",0.99,IF(S30="CARDINALS",0.96,IF(S30="PIRATES",1.02,IF(S30="NATIONALS",1,1))))))))))))))))))))))))))))))*IF(W30="",1,(1+((W30-70)/10*0.035)))*IF(U30="DOME",1,IF(U30="IN",1-(V30*0.01),IF(U30="OUT",1+(V30*0.01),IF(OR(U30="L-R",U30="R-L"),1+(V30*0.005),1))))</f>
        <v/>
      </c>
      <c r="U30" s="15" t="inlineStr">
        <is>
          <t>DOME</t>
        </is>
      </c>
      <c r="V30" s="15" t="n"/>
      <c r="W30" s="15" t="n"/>
      <c r="Y30">
        <f>B30 &amp; " vs. " &amp; H30</f>
        <v/>
      </c>
      <c r="Z30">
        <f>TRIM(LEFT(Y30, FIND("vs.", Y30)-1))</f>
        <v/>
      </c>
      <c r="AA30">
        <f>TRIM(MID(Y30, FIND(" vs. ", Y30)+4, 100))</f>
        <v/>
      </c>
      <c r="AB30">
        <f>IF(Q30 &gt; VALUE(AC30), "O " &amp; AC30, IF(Q30 &lt; VALUE(AC30), "U " &amp; AC30, AC30))</f>
        <v/>
      </c>
      <c r="AC30" s="15">
        <f>IF(OR(O30="-", P30="-"), "-", MROUND(O30 + P30, 0.5))</f>
        <v/>
      </c>
      <c r="AD30" s="15">
        <f>VALUE(TRIM(RIGHT(AF30, LEN(AF30) - FIND(" ", AF30))))</f>
        <v/>
      </c>
      <c r="AE30" s="15">
        <f>LEFT(AF30,FIND(" ",AF30)-1)</f>
        <v/>
      </c>
      <c r="AF30" s="15">
        <f>IF(OR(O30="-", P30="-"), "-",
IF(MROUND(ABS(O30-P30),0.5)&lt;=0.5,
IF(O30&gt;P30, B30 &amp; " ML", H30 &amp; " ML"),
IF(MROUND(ABS(O30-P30),0.5)=1,
IF(O30&gt;P30, H30 &amp; " +1.5", B30 &amp; " +1.5"),
IF(O30&gt;P30, B30 &amp; " -1.5", H30 &amp; " -1.5")
)
)
)</f>
        <v/>
      </c>
      <c r="AG30" s="15">
        <f>_xlfn.LET(
_xlpm.winA, O30^1.83 / (O30^1.83 + P30^1.83),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1">
      <c r="A31" s="14" t="n">
        <v>46109</v>
      </c>
      <c r="B31" s="15" t="inlineStr">
        <is>
          <t>WHITE SOX</t>
        </is>
      </c>
      <c r="C31">
        <f>VLOOKUP(B31, 'MLB Data'!$B$5:$D$34, 3, FALSE)</f>
        <v/>
      </c>
      <c r="D31" s="16" t="inlineStr">
        <is>
          <t>BURKKE</t>
        </is>
      </c>
      <c r="E31" s="17" t="n">
        <v>5.03</v>
      </c>
      <c r="F31" s="17">
        <f>VLOOKUP(B31, 'MLB Data'!$F$2:$H$34, 3, FALSE)</f>
        <v/>
      </c>
      <c r="G31" s="17">
        <f>IF((E31*0.6+F31*0.4)&lt;2.5, 2.8, IF((E31*0.6+F31*0.4)&gt;5.5, 5.2, (E31*0.6+F31*0.4)))</f>
        <v/>
      </c>
      <c r="H31" s="15" t="inlineStr">
        <is>
          <t>BREWERS</t>
        </is>
      </c>
      <c r="I31">
        <f>VLOOKUP(H31, 'MLB Data'!$B$5:$D$34, 3, FALSE)</f>
        <v/>
      </c>
      <c r="J31" s="16" t="inlineStr">
        <is>
          <t>PATRICK</t>
        </is>
      </c>
      <c r="K31" t="n">
        <v>4.03</v>
      </c>
      <c r="L31" s="17">
        <f>VLOOKUP(H31, 'MLB Data'!$F$2:$H$34, 3, FALSE)</f>
        <v/>
      </c>
      <c r="M31" s="17">
        <f>IF((K31*0.6+L31*0.4)&lt;2.5, 2.8, IF((K31*0.6+L31*0.4)&gt;5.5, 5.2, (K31*0.6+L31*0.4)))</f>
        <v/>
      </c>
      <c r="O31" s="18">
        <f>(C31/100) * 4.45 * (M31 / 4.2) * T31</f>
        <v/>
      </c>
      <c r="P31" s="18">
        <f>(I31/100) * 4.45 * (G31 / 4.2) * T31</f>
        <v/>
      </c>
      <c r="Q31" s="18">
        <f>(O31+P31)</f>
        <v/>
      </c>
      <c r="S31" s="15">
        <f>H31</f>
        <v/>
      </c>
      <c r="T31" s="19">
        <f>IF(S31="ROCKIES",1.13,IF(S31="ATHLETICS",1.03,IF(S31="ROYALS",1.03,IF(S31="TWINS",1,IF(S31="TIGERS",1,IF(S31="MARLINS",1.01,IF(S31="REDS",1.05,IF(S31="RED SOX",1.04,IF(S31="YANKEES",1.02,IF(S31="DODGERS",0.99,IF(S31="PADRES",0.96,IF(S31="CUBS",0.98,IF(S31="GIANTS",0.97,IF(S31="MARINERS",0.94,IF(S31="RANGERS",1,IF(S31="ASTROS",0.99,IF(S31="BRAVES",1,IF(S31="METS",0.96,IF(S31="PHILLIES",1.02,IF(S31="BLUE JAYS",1.01,IF(S31="ORIOLES",0.99,IF(S31="RAYS",1.01,IF(S31="GUARDIANS",0.99,IF(S31="WHITE SOX",0.98,IF(S31="ANGELS",1.01,IF(S31="D-BACKS",1.01,IF(S31="BREWERS",0.99,IF(S31="CARDINALS",0.96,IF(S31="PIRATES",1.02,IF(S31="NATIONALS",1,1))))))))))))))))))))))))))))))*IF(W31="",1,(1+((W31-70)/10*0.035)))*IF(U31="DOME",1,IF(U31="IN",1-(V31*0.01),IF(U31="OUT",1+(V31*0.01),IF(OR(U31="L-R",U31="R-L"),1+(V31*0.005),1))))</f>
        <v/>
      </c>
      <c r="U31" s="15" t="inlineStr">
        <is>
          <t>DOME</t>
        </is>
      </c>
      <c r="V31" s="15" t="n"/>
      <c r="W31" s="15" t="n"/>
      <c r="Y31">
        <f>B31 &amp; " vs. " &amp; H31</f>
        <v/>
      </c>
      <c r="Z31">
        <f>TRIM(LEFT(Y31, FIND("vs.", Y31)-1))</f>
        <v/>
      </c>
      <c r="AA31">
        <f>TRIM(MID(Y31, FIND(" vs. ", Y31)+4, 100))</f>
        <v/>
      </c>
      <c r="AB31">
        <f>IF(Q31 &gt; VALUE(AC31), "O " &amp; AC31, IF(Q31 &lt; VALUE(AC31), "U " &amp; AC31, AC31))</f>
        <v/>
      </c>
      <c r="AC31" s="15">
        <f>IF(OR(O31="-", P31="-"), "-", MROUND(O31 + P31, 0.5))</f>
        <v/>
      </c>
      <c r="AD31" s="15">
        <f>VALUE(TRIM(RIGHT(AF31, LEN(AF31) - FIND(" ", AF31))))</f>
        <v/>
      </c>
      <c r="AE31" s="15">
        <f>LEFT(AF31,FIND(" ",AF31)-1)</f>
        <v/>
      </c>
      <c r="AF31" s="15">
        <f>IF(OR(O31="-", P31="-"), "-",
IF(MROUND(ABS(O31-P31),0.5)&lt;=0.5,
IF(O31&gt;P31, B31 &amp; " ML", H31 &amp; " ML"),
IF(MROUND(ABS(O31-P31),0.5)=1,
IF(O31&gt;P31, H31 &amp; " +1.5", B31 &amp; " +1.5"),
IF(O31&gt;P31, B31 &amp; " -1.5", H31 &amp; " -1.5")
)
)
)</f>
        <v/>
      </c>
      <c r="AG31" s="15">
        <f>_xlfn.LET(
_xlpm.winA, O31^1.83 / (O31^1.83 + P31^1.83),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2">
      <c r="A32" s="14" t="n">
        <v>46109</v>
      </c>
      <c r="B32" s="15" t="inlineStr">
        <is>
          <t>ROYALS</t>
        </is>
      </c>
      <c r="C32">
        <f>VLOOKUP(B32, 'MLB Data'!$B$5:$D$34, 3, FALSE)</f>
        <v/>
      </c>
      <c r="D32" s="16" t="inlineStr">
        <is>
          <t>WACHA</t>
        </is>
      </c>
      <c r="E32" s="17" t="n">
        <v>4.56</v>
      </c>
      <c r="F32" s="17">
        <f>VLOOKUP(B32, 'MLB Data'!$F$2:$H$34, 3, FALSE)</f>
        <v/>
      </c>
      <c r="G32" s="17">
        <f>IF((E32*0.6+F32*0.4)&lt;2.5, 2.8, IF((E32*0.6+F32*0.4)&gt;5.5, 5.2, (E32*0.6+F32*0.4)))</f>
        <v/>
      </c>
      <c r="H32" s="15" t="inlineStr">
        <is>
          <t>BRAVES</t>
        </is>
      </c>
      <c r="I32">
        <f>VLOOKUP(H32, 'MLB Data'!$B$5:$D$34, 3, FALSE)</f>
        <v/>
      </c>
      <c r="J32" s="16" t="inlineStr">
        <is>
          <t>LOPEZ</t>
        </is>
      </c>
      <c r="K32" t="n">
        <v>5.79</v>
      </c>
      <c r="L32" s="17">
        <f>VLOOKUP(H32, 'MLB Data'!$F$2:$H$34, 3, FALSE)</f>
        <v/>
      </c>
      <c r="M32" s="17">
        <f>IF((K32*0.6+L32*0.4)&lt;2.5, 2.8, IF((K32*0.6+L32*0.4)&gt;5.5, 5.2, (K32*0.6+L32*0.4)))</f>
        <v/>
      </c>
      <c r="O32" s="18">
        <f>(C32/100) * 4.45 * (M32 / 4.2) * T32</f>
        <v/>
      </c>
      <c r="P32" s="18">
        <f>(I32/100) * 4.45 * (G32 / 4.2) * T32</f>
        <v/>
      </c>
      <c r="Q32" s="18">
        <f>(O32+P32)</f>
        <v/>
      </c>
      <c r="S32" s="15">
        <f>H32</f>
        <v/>
      </c>
      <c r="T32" s="19">
        <f>IF(S32="ROCKIES",1.13,IF(S32="ATHLETICS",1.03,IF(S32="ROYALS",1.03,IF(S32="TWINS",1,IF(S32="TIGERS",1,IF(S32="MARLINS",1.01,IF(S32="REDS",1.05,IF(S32="RED SOX",1.04,IF(S32="YANKEES",1.02,IF(S32="DODGERS",0.99,IF(S32="PADRES",0.96,IF(S32="CUBS",0.98,IF(S32="GIANTS",0.97,IF(S32="MARINERS",0.94,IF(S32="RANGERS",1,IF(S32="ASTROS",0.99,IF(S32="BRAVES",1,IF(S32="METS",0.96,IF(S32="PHILLIES",1.02,IF(S32="BLUE JAYS",1.01,IF(S32="ORIOLES",0.99,IF(S32="RAYS",1.01,IF(S32="GUARDIANS",0.99,IF(S32="WHITE SOX",0.98,IF(S32="ANGELS",1.01,IF(S32="D-BACKS",1.01,IF(S32="BREWERS",0.99,IF(S32="CARDINALS",0.96,IF(S32="PIRATES",1.02,IF(S32="NATIONALS",1,1))))))))))))))))))))))))))))))*IF(W32="",1,(1+((W32-70)/10*0.035)))*IF(U32="DOME",1,IF(U32="IN",1-(V32*0.01),IF(U32="OUT",1+(V32*0.01),IF(OR(U32="L-R",U32="R-L"),1+(V32*0.005),1))))</f>
        <v/>
      </c>
      <c r="U32" s="15" t="inlineStr">
        <is>
          <t>R-L</t>
        </is>
      </c>
      <c r="V32" s="15" t="n"/>
      <c r="W32" s="15" t="n">
        <v>65</v>
      </c>
      <c r="Y32">
        <f>B32 &amp; " vs. " &amp; H32</f>
        <v/>
      </c>
      <c r="Z32">
        <f>TRIM(LEFT(Y32, FIND("vs.", Y32)-1))</f>
        <v/>
      </c>
      <c r="AA32">
        <f>TRIM(MID(Y32, FIND(" vs. ", Y32)+4, 100))</f>
        <v/>
      </c>
      <c r="AB32">
        <f>IF(Q32 &gt; VALUE(AC32), "O " &amp; AC32, IF(Q32 &lt; VALUE(AC32), "U " &amp; AC32, AC32))</f>
        <v/>
      </c>
      <c r="AC32" s="15">
        <f>IF(OR(O32="-", P32="-"), "-", MROUND(O32 + P32, 0.5))</f>
        <v/>
      </c>
      <c r="AD32" s="15">
        <f>VALUE(TRIM(RIGHT(AF32, LEN(AF32) - FIND(" ", AF32))))</f>
        <v/>
      </c>
      <c r="AE32" s="15">
        <f>LEFT(AF32,FIND(" ",AF32)-1)</f>
        <v/>
      </c>
      <c r="AF32" s="15">
        <f>IF(OR(O32="-", P32="-"), "-",
IF(MROUND(ABS(O32-P32),0.5)&lt;=0.5,
IF(O32&gt;P32, B32 &amp; " ML", H32 &amp; " ML"),
IF(MROUND(ABS(O32-P32),0.5)=1,
IF(O32&gt;P32, H32 &amp; " +1.5", B32 &amp; " +1.5"),
IF(O32&gt;P32, B32 &amp; " -1.5", H32 &amp; " -1.5")
)
)
)</f>
        <v/>
      </c>
      <c r="AG32" s="15">
        <f>_xlfn.LET(
_xlpm.winA, O32^1.83 / (O32^1.83 + P32^1.83),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3">
      <c r="A33" s="14" t="n">
        <v>46109</v>
      </c>
      <c r="B33" s="15" t="inlineStr">
        <is>
          <t>YANKEES</t>
        </is>
      </c>
      <c r="C33">
        <f>VLOOKUP(B33, 'MLB Data'!$B$5:$D$34, 3, FALSE)</f>
        <v/>
      </c>
      <c r="D33" s="16" t="inlineStr">
        <is>
          <t>WARREN</t>
        </is>
      </c>
      <c r="E33" s="17" t="n">
        <v>3.91</v>
      </c>
      <c r="F33" s="17">
        <f>VLOOKUP(B33, 'MLB Data'!$F$2:$H$34, 3, FALSE)</f>
        <v/>
      </c>
      <c r="G33" s="17">
        <f>IF((E33*0.6+F33*0.4)&lt;2.5, 2.8, IF((E33*0.6+F33*0.4)&gt;5.5, 5.2, (E33*0.6+F33*0.4)))</f>
        <v/>
      </c>
      <c r="H33" s="15" t="inlineStr">
        <is>
          <t>GIANTS</t>
        </is>
      </c>
      <c r="I33">
        <f>VLOOKUP(H33, 'MLB Data'!$B$5:$D$34, 3, FALSE)</f>
        <v/>
      </c>
      <c r="J33" s="16" t="inlineStr">
        <is>
          <t>MAHLE</t>
        </is>
      </c>
      <c r="K33" t="n">
        <v>4.43</v>
      </c>
      <c r="L33" s="17">
        <f>VLOOKUP(H33, 'MLB Data'!$F$2:$H$34, 3, FALSE)</f>
        <v/>
      </c>
      <c r="M33" s="17">
        <f>IF((K33*0.6+L33*0.4)&lt;2.5, 2.8, IF((K33*0.6+L33*0.4)&gt;5.5, 5.2, (K33*0.6+L33*0.4)))</f>
        <v/>
      </c>
      <c r="O33" s="18">
        <f>(C33/100) * 4.45 * (M33 / 4.2) * T33</f>
        <v/>
      </c>
      <c r="P33" s="18">
        <f>(I33/100) * 4.45 * (G33 / 4.2) * T33</f>
        <v/>
      </c>
      <c r="Q33" s="18">
        <f>(O33+P33)</f>
        <v/>
      </c>
      <c r="S33" s="15">
        <f>H33</f>
        <v/>
      </c>
      <c r="T33" s="19">
        <f>IF(S33="ROCKIES",1.13,IF(S33="ATHLETICS",1.03,IF(S33="ROYALS",1.03,IF(S33="TWINS",1,IF(S33="TIGERS",1,IF(S33="MARLINS",1.01,IF(S33="REDS",1.05,IF(S33="RED SOX",1.04,IF(S33="YANKEES",1.02,IF(S33="DODGERS",0.99,IF(S33="PADRES",0.96,IF(S33="CUBS",0.98,IF(S33="GIANTS",0.97,IF(S33="MARINERS",0.94,IF(S33="RANGERS",1,IF(S33="ASTROS",0.99,IF(S33="BRAVES",1,IF(S33="METS",0.96,IF(S33="PHILLIES",1.02,IF(S33="BLUE JAYS",1.01,IF(S33="ORIOLES",0.99,IF(S33="RAYS",1.01,IF(S33="GUARDIANS",0.99,IF(S33="WHITE SOX",0.98,IF(S33="ANGELS",1.01,IF(S33="D-BACKS",1.01,IF(S33="BREWERS",0.99,IF(S33="CARDINALS",0.96,IF(S33="PIRATES",1.02,IF(S33="NATIONALS",1,1))))))))))))))))))))))))))))))*IF(W33="",1,(1+((W33-70)/10*0.035)))*IF(U33="DOME",1,IF(U33="IN",1-(V33*0.01),IF(U33="OUT",1+(V33*0.01),IF(OR(U33="L-R",U33="R-L"),1+(V33*0.005),1))))</f>
        <v/>
      </c>
      <c r="U33" s="15" t="inlineStr">
        <is>
          <t>OUT</t>
        </is>
      </c>
      <c r="V33" s="15" t="n"/>
      <c r="W33" s="15" t="n">
        <v>67</v>
      </c>
      <c r="Y33">
        <f>B33 &amp; " vs. " &amp; H33</f>
        <v/>
      </c>
      <c r="Z33">
        <f>TRIM(LEFT(Y33, FIND("vs.", Y33)-1))</f>
        <v/>
      </c>
      <c r="AA33">
        <f>TRIM(MID(Y33, FIND(" vs. ", Y33)+4, 100))</f>
        <v/>
      </c>
      <c r="AB33">
        <f>IF(Q33 &gt; VALUE(AC33), "O " &amp; AC33, IF(Q33 &lt; VALUE(AC33), "U " &amp; AC33, AC33))</f>
        <v/>
      </c>
      <c r="AC33" s="15">
        <f>IF(OR(O33="-", P33="-"), "-", MROUND(O33 + P33, 0.5))</f>
        <v/>
      </c>
      <c r="AD33" s="15">
        <f>VALUE(TRIM(RIGHT(AF33, LEN(AF33) - FIND(" ", AF33))))</f>
        <v/>
      </c>
      <c r="AE33" s="15">
        <f>LEFT(AF33,FIND(" ",AF33)-1)</f>
        <v/>
      </c>
      <c r="AF33" s="15">
        <f>IF(OR(O33="-", P33="-"), "-",
IF(MROUND(ABS(O33-P33),0.5)&lt;=0.5,
IF(O33&gt;P33, B33 &amp; " ML", H33 &amp; " ML"),
IF(MROUND(ABS(O33-P33),0.5)=1,
IF(O33&gt;P33, H33 &amp; " +1.5", B33 &amp; " +1.5"),
IF(O33&gt;P33, B33 &amp; " -1.5", H33 &amp; " -1.5")
)
)
)</f>
        <v/>
      </c>
      <c r="AG33" s="15">
        <f>_xlfn.LET(
_xlpm.winA, O33^1.83 / (O33^1.83 + P33^1.83),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4">
      <c r="A34" s="14" t="n">
        <v>46109</v>
      </c>
      <c r="B34" s="15" t="inlineStr">
        <is>
          <t>TIGERS</t>
        </is>
      </c>
      <c r="C34">
        <f>VLOOKUP(B34, 'MLB Data'!$B$5:$D$34, 3, FALSE)</f>
        <v/>
      </c>
      <c r="D34" s="16" t="inlineStr">
        <is>
          <t>FLAHERTY</t>
        </is>
      </c>
      <c r="E34" s="17" t="n">
        <v>3.69</v>
      </c>
      <c r="F34" s="17">
        <f>VLOOKUP(B34, 'MLB Data'!$F$2:$H$34, 3, FALSE)</f>
        <v/>
      </c>
      <c r="G34" s="17">
        <f>IF((E34*0.6+F34*0.4)&lt;2.5, 2.8, IF((E34*0.6+F34*0.4)&gt;5.5, 5.2, (E34*0.6+F34*0.4)))</f>
        <v/>
      </c>
      <c r="H34" s="15" t="inlineStr">
        <is>
          <t>PADRES</t>
        </is>
      </c>
      <c r="I34">
        <f>VLOOKUP(H34, 'MLB Data'!$B$5:$D$34, 3, FALSE)</f>
        <v/>
      </c>
      <c r="J34" s="16" t="inlineStr">
        <is>
          <t>VASQUEZ</t>
        </is>
      </c>
      <c r="K34" t="n">
        <v>5.62</v>
      </c>
      <c r="L34" s="17">
        <f>VLOOKUP(H34, 'MLB Data'!$F$2:$H$34, 3, FALSE)</f>
        <v/>
      </c>
      <c r="M34" s="17">
        <f>IF((K34*0.6+L34*0.4)&lt;2.5, 2.8, IF((K34*0.6+L34*0.4)&gt;5.5, 5.2, (K34*0.6+L34*0.4)))</f>
        <v/>
      </c>
      <c r="O34" s="18">
        <f>(C34/100) * 4.45 * (M34 / 4.2) * T34</f>
        <v/>
      </c>
      <c r="P34" s="18">
        <f>(I34/100) * 4.45 * (G34 / 4.2) * T34</f>
        <v/>
      </c>
      <c r="Q34" s="18">
        <f>(O34+P34)</f>
        <v/>
      </c>
      <c r="S34" s="15">
        <f>H34</f>
        <v/>
      </c>
      <c r="T34" s="19">
        <f>IF(S34="ROCKIES",1.13,IF(S34="ATHLETICS",1.03,IF(S34="ROYALS",1.03,IF(S34="TWINS",1,IF(S34="TIGERS",1,IF(S34="MARLINS",1.01,IF(S34="REDS",1.05,IF(S34="RED SOX",1.04,IF(S34="YANKEES",1.02,IF(S34="DODGERS",0.99,IF(S34="PADRES",0.96,IF(S34="CUBS",0.98,IF(S34="GIANTS",0.97,IF(S34="MARINERS",0.94,IF(S34="RANGERS",1,IF(S34="ASTROS",0.99,IF(S34="BRAVES",1,IF(S34="METS",0.96,IF(S34="PHILLIES",1.02,IF(S34="BLUE JAYS",1.01,IF(S34="ORIOLES",0.99,IF(S34="RAYS",1.01,IF(S34="GUARDIANS",0.99,IF(S34="WHITE SOX",0.98,IF(S34="ANGELS",1.01,IF(S34="D-BACKS",1.01,IF(S34="BREWERS",0.99,IF(S34="CARDINALS",0.96,IF(S34="PIRATES",1.02,IF(S34="NATIONALS",1,1))))))))))))))))))))))))))))))*IF(W34="",1,(1+((W34-70)/10*0.035)))*IF(U34="DOME",1,IF(U34="IN",1-(V34*0.01),IF(U34="OUT",1+(V34*0.01),IF(OR(U34="L-R",U34="R-L"),1+(V34*0.005),1))))</f>
        <v/>
      </c>
      <c r="U34" s="15" t="inlineStr">
        <is>
          <t>L-R</t>
        </is>
      </c>
      <c r="V34" s="15" t="n"/>
      <c r="W34" s="15" t="n">
        <v>74</v>
      </c>
      <c r="Y34">
        <f>B34 &amp; " vs. " &amp; H34</f>
        <v/>
      </c>
      <c r="Z34">
        <f>TRIM(LEFT(Y34, FIND("vs.", Y34)-1))</f>
        <v/>
      </c>
      <c r="AA34">
        <f>TRIM(MID(Y34, FIND(" vs. ", Y34)+4, 100))</f>
        <v/>
      </c>
      <c r="AB34">
        <f>IF(Q34 &gt; VALUE(AC34), "O " &amp; AC34, IF(Q34 &lt; VALUE(AC34), "U " &amp; AC34, AC34))</f>
        <v/>
      </c>
      <c r="AC34" s="15">
        <f>IF(OR(O34="-", P34="-"), "-", MROUND(O34 + P34, 0.5))</f>
        <v/>
      </c>
      <c r="AD34" s="15">
        <f>VALUE(TRIM(RIGHT(AF34, LEN(AF34) - FIND(" ", AF34))))</f>
        <v/>
      </c>
      <c r="AE34" s="15">
        <f>LEFT(AF34,FIND(" ",AF34)-1)</f>
        <v/>
      </c>
      <c r="AF34" s="15">
        <f>IF(OR(O34="-", P34="-"), "-",
    IF(MROUND(ABS(O34-P34),0.5)&lt;=0.5,
        IF(O34&gt;P34, B34 &amp; " ML", H34 &amp; " ML"),
        IF(MROUND(ABS(O34-P34),0.5)=1,
            IF(O34&gt;P34, H34 &amp; " +1.5", B34 &amp; " +1.5"),
            IF(O34&gt;P34, B34 &amp; " -1.5", H34 &amp; " -1.5")
        )
    )
)</f>
        <v/>
      </c>
      <c r="AG34" s="15">
        <f>_xlfn.LET(
    _xlpm.winA, O34^1.83 / (O34^1.83 + P34^1.83),
    _xlpm.winB, 1 - _xlpm.winA,
    _xlpm.oddsA, IF(_xlpm.winA &gt;= 0.5, "-" &amp; ROUND(_xlpm.winA / (1 - _xlpm.winA) * 100, 0), "+" &amp; ROUND((1 - _xlpm.winA) / _xlpm.winA * 100, 0)),
    _xlpm.oddsB, IF(_xlpm.winB &gt;= 0.5, "-" &amp; ROUND(_xlpm.winB / (1 - _xlpm.winB) * 100, 0), "+" &amp; ROUND((1 - _xlpm.winB) / _xlpm.winB * 100, 0)),
    _xlpm.oddsA &amp; " / " &amp; _xlpm.oddsB
)</f>
        <v/>
      </c>
    </row>
    <row r="35">
      <c r="A35" s="14" t="n">
        <v>46109</v>
      </c>
      <c r="B35" s="15" t="inlineStr">
        <is>
          <t>D-BACKS</t>
        </is>
      </c>
      <c r="C35">
        <f>VLOOKUP(B35, 'MLB Data'!$B$5:$D$34, 3, FALSE)</f>
        <v/>
      </c>
      <c r="D35" s="16" t="inlineStr">
        <is>
          <t>RODRIGUEZ</t>
        </is>
      </c>
      <c r="E35" s="17" t="n">
        <v>4.44</v>
      </c>
      <c r="F35" s="17">
        <f>VLOOKUP(B35, 'MLB Data'!$F$2:$H$34, 3, FALSE)</f>
        <v/>
      </c>
      <c r="G35" s="17">
        <f>IF((E35*0.6+F35*0.4)&lt;2.5, 2.8, IF((E35*0.6+F35*0.4)&gt;5.5, 5.2, (E35*0.6+F35*0.4)))</f>
        <v/>
      </c>
      <c r="H35" s="15" t="inlineStr">
        <is>
          <t>DODGERS</t>
        </is>
      </c>
      <c r="I35">
        <f>VLOOKUP(H35, 'MLB Data'!$B$5:$D$34, 3, FALSE)</f>
        <v/>
      </c>
      <c r="J35" s="16" t="inlineStr">
        <is>
          <t>GLASNOW</t>
        </is>
      </c>
      <c r="K35" t="n">
        <v>3.72</v>
      </c>
      <c r="L35" s="17">
        <f>VLOOKUP(H35, 'MLB Data'!$F$2:$H$34, 3, FALSE)</f>
        <v/>
      </c>
      <c r="M35" s="17">
        <f>IF((K35*0.6+L35*0.4)&lt;2.5, 2.8, IF((K35*0.6+L35*0.4)&gt;5.5, 5.2, (K35*0.6+L35*0.4)))</f>
        <v/>
      </c>
      <c r="O35" s="18">
        <f>(C35/100) * 4.45 * (M35 / 4.2) * T35</f>
        <v/>
      </c>
      <c r="P35" s="18">
        <f>(I35/100) * 4.45 * (G35 / 4.2) * T35</f>
        <v/>
      </c>
      <c r="Q35" s="18">
        <f>(O35+P35)</f>
        <v/>
      </c>
      <c r="S35" s="15">
        <f>H35</f>
        <v/>
      </c>
      <c r="T35" s="19">
        <f>IF(S35="ROCKIES",1.13,IF(S35="ATHLETICS",1.03,IF(S35="ROYALS",1.03,IF(S35="TWINS",1,IF(S35="TIGERS",1,IF(S35="MARLINS",1.01,IF(S35="REDS",1.05,IF(S35="RED SOX",1.04,IF(S35="YANKEES",1.02,IF(S35="DODGERS",0.99,IF(S35="PADRES",0.96,IF(S35="CUBS",0.98,IF(S35="GIANTS",0.97,IF(S35="MARINERS",0.94,IF(S35="RANGERS",1,IF(S35="ASTROS",0.99,IF(S35="BRAVES",1,IF(S35="METS",0.96,IF(S35="PHILLIES",1.02,IF(S35="BLUE JAYS",1.01,IF(S35="ORIOLES",0.99,IF(S35="RAYS",1.01,IF(S35="GUARDIANS",0.99,IF(S35="WHITE SOX",0.98,IF(S35="ANGELS",1.01,IF(S35="D-BACKS",1.01,IF(S35="BREWERS",0.99,IF(S35="CARDINALS",0.96,IF(S35="PIRATES",1.02,IF(S35="NATIONALS",1,1))))))))))))))))))))))))))))))*IF(W35="",1,(1+((W35-70)/10*0.035)))*IF(U35="DOME",1,IF(U35="IN",1-(V35*0.01),IF(U35="OUT",1+(V35*0.01),IF(OR(U35="L-R",U35="R-L"),1+(V35*0.005),1))))</f>
        <v/>
      </c>
      <c r="U35" s="15" t="inlineStr">
        <is>
          <t>OUT</t>
        </is>
      </c>
      <c r="V35" s="15" t="n"/>
      <c r="W35" s="15" t="n">
        <v>70</v>
      </c>
      <c r="Y35">
        <f>B35 &amp; " vs. " &amp; H35</f>
        <v/>
      </c>
      <c r="Z35">
        <f>TRIM(LEFT(Y35, FIND("vs.", Y35)-1))</f>
        <v/>
      </c>
      <c r="AA35">
        <f>TRIM(MID(Y35, FIND(" vs. ", Y35)+4, 100))</f>
        <v/>
      </c>
      <c r="AB35">
        <f>IF(Q35 &gt; VALUE(AC35), "O " &amp; AC35, IF(Q35 &lt; VALUE(AC35), "U " &amp; AC35, AC35))</f>
        <v/>
      </c>
      <c r="AC35" s="15">
        <f>IF(OR(O35="-", P35="-"), "-", MROUND(O35 + P35, 0.5))</f>
        <v/>
      </c>
      <c r="AD35" s="15">
        <f>VALUE(TRIM(RIGHT(AF35, LEN(AF35) - FIND(" ", AF35))))</f>
        <v/>
      </c>
      <c r="AE35" s="15">
        <f>LEFT(AF35,FIND(" ",AF35)-1)</f>
        <v/>
      </c>
      <c r="AF35" s="15">
        <f>IF(OR(O35="-", P35="-"), "-",
IF(MROUND(ABS(O35-P35),0.5)&lt;=0.5,
IF(O35&gt;P35, B35 &amp; " ML", H35 &amp; " ML"),
IF(MROUND(ABS(O35-P35),0.5)=1,
IF(O35&gt;P35, H35 &amp; " +1.5", B35 &amp; " +1.5"),
IF(O35&gt;P35, B35 &amp; " -1.5", H35 &amp; " -1.5")
)
)
)</f>
        <v/>
      </c>
      <c r="AG35" s="15">
        <f>_xlfn.LET(
_xlpm.winA, O35^1.83 / (O35^1.83 + P35^1.83),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6">
      <c r="A36" s="14" t="n">
        <v>46109</v>
      </c>
      <c r="B36" s="15" t="inlineStr">
        <is>
          <t>GUARDIANS</t>
        </is>
      </c>
      <c r="C36">
        <f>VLOOKUP(B36, 'MLB Data'!$B$5:$D$34, 3, FALSE)</f>
        <v/>
      </c>
      <c r="D36" s="16" t="inlineStr">
        <is>
          <t>CANTILLO</t>
        </is>
      </c>
      <c r="E36" s="17" t="n">
        <v>3.78</v>
      </c>
      <c r="F36" s="17">
        <f>VLOOKUP(B36, 'MLB Data'!$F$2:$H$34, 3, FALSE)</f>
        <v/>
      </c>
      <c r="G36" s="17">
        <f>IF((E36*0.6+F36*0.4)&lt;2.5, 2.8, IF((E36*0.6+F36*0.4)&gt;5.5, 5.2, (E36*0.6+F36*0.4)))</f>
        <v/>
      </c>
      <c r="H36" s="15" t="inlineStr">
        <is>
          <t>MARINERS</t>
        </is>
      </c>
      <c r="I36">
        <f>VLOOKUP(H36, 'MLB Data'!$B$5:$D$34, 3, FALSE)</f>
        <v/>
      </c>
      <c r="J36" s="16" t="inlineStr">
        <is>
          <t>WOO</t>
        </is>
      </c>
      <c r="K36" t="n">
        <v>3.33</v>
      </c>
      <c r="L36" s="17">
        <f>VLOOKUP(H36, 'MLB Data'!$F$2:$H$34, 3, FALSE)</f>
        <v/>
      </c>
      <c r="M36" s="17">
        <f>IF((K36*0.6+L36*0.4)&lt;2.5, 2.8, IF((K36*0.6+L36*0.4)&gt;5.5, 5.2, (K36*0.6+L36*0.4)))</f>
        <v/>
      </c>
      <c r="O36" s="18">
        <f>(C36/100) * 4.45 * (M36 / 4.2) * T36</f>
        <v/>
      </c>
      <c r="P36" s="18">
        <f>(I36/100) * 4.45 * (G36 / 4.2) * T36</f>
        <v/>
      </c>
      <c r="Q36" s="18">
        <f>(O36+P36)</f>
        <v/>
      </c>
      <c r="S36" s="15">
        <f>H36</f>
        <v/>
      </c>
      <c r="T36" s="19">
        <f>IF(S36="ROCKIES",1.13,IF(S36="ATHLETICS",1.03,IF(S36="ROYALS",1.03,IF(S36="TWINS",1,IF(S36="TIGERS",1,IF(S36="MARLINS",1.01,IF(S36="REDS",1.05,IF(S36="RED SOX",1.04,IF(S36="YANKEES",1.02,IF(S36="DODGERS",0.99,IF(S36="PADRES",0.96,IF(S36="CUBS",0.98,IF(S36="GIANTS",0.97,IF(S36="MARINERS",0.94,IF(S36="RANGERS",1,IF(S36="ASTROS",0.99,IF(S36="BRAVES",1,IF(S36="METS",0.96,IF(S36="PHILLIES",1.02,IF(S36="BLUE JAYS",1.01,IF(S36="ORIOLES",0.99,IF(S36="RAYS",1.01,IF(S36="GUARDIANS",0.99,IF(S36="WHITE SOX",0.98,IF(S36="ANGELS",1.01,IF(S36="D-BACKS",1.01,IF(S36="BREWERS",0.99,IF(S36="CARDINALS",0.96,IF(S36="PIRATES",1.02,IF(S36="NATIONALS",1,1))))))))))))))))))))))))))))))*IF(W36="",1,(1+((W36-70)/10*0.035)))*IF(U36="DOME",1,IF(U36="IN",1-(V36*0.01),IF(U36="OUT",1+(V36*0.01),IF(OR(U36="L-R",U36="R-L"),1+(V36*0.005),1))))</f>
        <v/>
      </c>
      <c r="U36" s="15" t="n"/>
      <c r="V36" s="15" t="n"/>
      <c r="W36" s="15" t="n"/>
      <c r="Y36">
        <f>B36 &amp; " vs. " &amp; H36</f>
        <v/>
      </c>
      <c r="Z36">
        <f>TRIM(LEFT(Y36, FIND("vs.", Y36)-1))</f>
        <v/>
      </c>
      <c r="AA36">
        <f>TRIM(MID(Y36, FIND(" vs. ", Y36)+4, 100))</f>
        <v/>
      </c>
      <c r="AB36">
        <f>IF(Q36 &gt; VALUE(AC36), "O " &amp; AC36, IF(Q36 &lt; VALUE(AC36), "U " &amp; AC36, AC36))</f>
        <v/>
      </c>
      <c r="AC36" s="15">
        <f>IF(OR(O36="-", P36="-"), "-", MROUND(O36 + P36, 0.5))</f>
        <v/>
      </c>
      <c r="AD36" s="15">
        <f>VALUE(TRIM(RIGHT(AF36, LEN(AF36) - FIND(" ", AF36))))</f>
        <v/>
      </c>
      <c r="AE36" s="15">
        <f>LEFT(AF36,FIND(" ",AF36)-1)</f>
        <v/>
      </c>
      <c r="AF36" s="15">
        <f>IF(OR(O36="-", P36="-"), "-",
IF(MROUND(ABS(O36-P36),0.5)&lt;=0.5,
IF(O36&gt;P36, B36 &amp; " ML", H36 &amp; " ML"),
IF(MROUND(ABS(O36-P36),0.5)=1,
IF(O36&gt;P36, H36 &amp; " +1.5", B36 &amp; " +1.5"),
IF(O36&gt;P36, B36 &amp; " -1.5", H36 &amp; " -1.5")
)
)
)</f>
        <v/>
      </c>
      <c r="AG36" s="15">
        <f>_xlfn.LET(
_xlpm.winA, O36^1.83 / (O36^1.83 + P36^1.83),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7">
      <c r="A37" s="14" t="n">
        <v>46110</v>
      </c>
      <c r="B37" s="15" t="inlineStr">
        <is>
          <t>TWINS</t>
        </is>
      </c>
      <c r="C37">
        <f>VLOOKUP(B37, 'MLB Data'!$B$5:$D$34, 3, FALSE)</f>
        <v/>
      </c>
      <c r="D37" s="16" t="inlineStr">
        <is>
          <t>OBER</t>
        </is>
      </c>
      <c r="E37" s="17" t="n">
        <v>4.75</v>
      </c>
      <c r="F37" s="17">
        <f>VLOOKUP(B37, 'MLB Data'!$F$2:$H$34, 3, FALSE)</f>
        <v/>
      </c>
      <c r="G37" s="17">
        <f>IF((E37*0.6+F37*0.4)&lt;2.5, 2.8, IF((E37*0.6+F37*0.4)&gt;5.5, 5.2, (E37*0.6+F37*0.4)))</f>
        <v/>
      </c>
      <c r="H37" s="15" t="inlineStr">
        <is>
          <t>ORIOLES</t>
        </is>
      </c>
      <c r="I37">
        <f>VLOOKUP(H37, 'MLB Data'!$B$5:$D$34, 3, FALSE)</f>
        <v/>
      </c>
      <c r="J37" s="16" t="inlineStr">
        <is>
          <t>BAZ</t>
        </is>
      </c>
      <c r="K37" t="n">
        <v>3.88</v>
      </c>
      <c r="L37" s="17">
        <f>VLOOKUP(H37, 'MLB Data'!$F$2:$H$34, 3, FALSE)</f>
        <v/>
      </c>
      <c r="M37" s="17">
        <f>IF((K37*0.6+L37*0.4)&lt;2.5, 2.8, IF((K37*0.6+L37*0.4)&gt;5.5, 5.2, (K37*0.6+L37*0.4)))</f>
        <v/>
      </c>
      <c r="O37" s="18">
        <f>(C37/100) * 4.45 * (M37 / 4.2) * T37</f>
        <v/>
      </c>
      <c r="P37" s="18">
        <f>(I37/100) * 4.45 * (G37 / 4.2) * T37</f>
        <v/>
      </c>
      <c r="Q37" s="18">
        <f>(O37+P37)</f>
        <v/>
      </c>
      <c r="S37" s="15">
        <f>H37</f>
        <v/>
      </c>
      <c r="T37" s="19">
        <f>IF(S37="ROCKIES",1.13,IF(S37="ATHLETICS",1.03,IF(S37="ROYALS",1.03,IF(S37="TWINS",1,IF(S37="TIGERS",1,IF(S37="MARLINS",1.01,IF(S37="REDS",1.05,IF(S37="RED SOX",1.04,IF(S37="YANKEES",1.02,IF(S37="DODGERS",0.99,IF(S37="PADRES",0.96,IF(S37="CUBS",0.98,IF(S37="GIANTS",0.97,IF(S37="MARINERS",0.94,IF(S37="RANGERS",1,IF(S37="ASTROS",0.99,IF(S37="BRAVES",1,IF(S37="METS",0.96,IF(S37="PHILLIES",1.02,IF(S37="BLUE JAYS",1.01,IF(S37="ORIOLES",0.99,IF(S37="RAYS",1.01,IF(S37="GUARDIANS",0.99,IF(S37="WHITE SOX",0.98,IF(S37="ANGELS",1.01,IF(S37="D-BACKS",1.01,IF(S37="BREWERS",0.99,IF(S37="CARDINALS",0.96,IF(S37="PIRATES",1.02,IF(S37="NATIONALS",1,1))))))))))))))))))))))))))))))*IF(W37="",1,(1+((W37-70)/10*0.035)))*IF(U37="DOME",1,IF(U37="IN",1-(V37*0.01),IF(U37="OUT",1+(V37*0.01),IF(OR(U37="L-R",U37="R-L"),1+(V37*0.005),1))))</f>
        <v/>
      </c>
      <c r="U37" s="15" t="inlineStr">
        <is>
          <t>OUT</t>
        </is>
      </c>
      <c r="V37" s="15" t="n"/>
      <c r="W37" s="15" t="n">
        <v>55</v>
      </c>
      <c r="Y37">
        <f>B37 &amp; " vs. " &amp; H37</f>
        <v/>
      </c>
      <c r="Z37">
        <f>TRIM(LEFT(Y37, FIND("vs.", Y37)-1))</f>
        <v/>
      </c>
      <c r="AA37">
        <f>TRIM(MID(Y37, FIND(" vs. ", Y37)+4, 100))</f>
        <v/>
      </c>
      <c r="AB37">
        <f>IF(Q37 &gt; VALUE(AC37), "O " &amp; AC37, IF(Q37 &lt; VALUE(AC37), "U " &amp; AC37, AC37))</f>
        <v/>
      </c>
      <c r="AC37" s="15">
        <f>IF(OR(O37="-", P37="-"), "-", MROUND(O37 + P37, 0.5))</f>
        <v/>
      </c>
      <c r="AD37" s="15">
        <f>VALUE(TRIM(RIGHT(AF37, LEN(AF37) - FIND(" ", AF37))))</f>
        <v/>
      </c>
      <c r="AE37" s="15">
        <f>LEFT(AF37,FIND(" ",AF37)-1)</f>
        <v/>
      </c>
      <c r="AF37" s="15">
        <f>IF(OR(O37="-", P37="-"), "-",
IF(MROUND(ABS(O37-P37),0.5)&lt;=0.5,
IF(O37&gt;P37, B37 &amp; " ML", H37 &amp; " ML"),
IF(MROUND(ABS(O37-P37),0.5)=1,
IF(O37&gt;P37, H37 &amp; " +1.5", B37 &amp; " +1.5"),
IF(O37&gt;P37, B37 &amp; " -1.5", H37 &amp; " -1.5")
)
)
)</f>
        <v/>
      </c>
      <c r="AG37" s="15">
        <f>_xlfn.LET(
_xlpm.winA, O37^1.83 / (O37^1.83 + P37^1.83),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8">
      <c r="A38" s="14" t="n">
        <v>46110</v>
      </c>
      <c r="B38" s="15" t="inlineStr">
        <is>
          <t>RANGERS</t>
        </is>
      </c>
      <c r="C38">
        <f>VLOOKUP(B38, 'MLB Data'!$B$5:$D$34, 3, FALSE)</f>
        <v/>
      </c>
      <c r="D38" s="16" t="inlineStr">
        <is>
          <t>GORE</t>
        </is>
      </c>
      <c r="E38" s="17" t="n">
        <v>3.78</v>
      </c>
      <c r="F38" s="17">
        <f>VLOOKUP(B38, 'MLB Data'!$F$2:$H$34, 3, FALSE)</f>
        <v/>
      </c>
      <c r="G38" s="17">
        <f>IF((E38*0.6+F38*0.4)&lt;2.5, 2.8, IF((E38*0.6+F38*0.4)&gt;5.5, 5.2, (E38*0.6+F38*0.4)))</f>
        <v/>
      </c>
      <c r="H38" s="15" t="inlineStr">
        <is>
          <t>PHILLIES</t>
        </is>
      </c>
      <c r="I38">
        <f>VLOOKUP(H38, 'MLB Data'!$B$5:$D$34, 3, FALSE)</f>
        <v/>
      </c>
      <c r="J38" s="16" t="inlineStr">
        <is>
          <t>LUZARDO</t>
        </is>
      </c>
      <c r="K38" t="n">
        <v>3.25</v>
      </c>
      <c r="L38" s="17">
        <f>VLOOKUP(H38, 'MLB Data'!$F$2:$H$34, 3, FALSE)</f>
        <v/>
      </c>
      <c r="M38" s="17">
        <f>IF((K38*0.6+L38*0.4)&lt;2.5, 2.8, IF((K38*0.6+L38*0.4)&gt;5.5, 5.2, (K38*0.6+L38*0.4)))</f>
        <v/>
      </c>
      <c r="O38" s="18">
        <f>(C38/100) * 4.45 * (M38 / 4.2) * T38</f>
        <v/>
      </c>
      <c r="P38" s="18">
        <f>(I38/100) * 4.45 * (G38 / 4.2) * T38</f>
        <v/>
      </c>
      <c r="Q38" s="18">
        <f>(O38+P38)</f>
        <v/>
      </c>
      <c r="S38" s="15">
        <f>H38</f>
        <v/>
      </c>
      <c r="T38" s="19">
        <f>IF(S38="ROCKIES",1.13,IF(S38="ATHLETICS",1.03,IF(S38="ROYALS",1.03,IF(S38="TWINS",1,IF(S38="TIGERS",1,IF(S38="MARLINS",1.01,IF(S38="REDS",1.05,IF(S38="RED SOX",1.04,IF(S38="YANKEES",1.02,IF(S38="DODGERS",0.99,IF(S38="PADRES",0.96,IF(S38="CUBS",0.98,IF(S38="GIANTS",0.97,IF(S38="MARINERS",0.94,IF(S38="RANGERS",1,IF(S38="ASTROS",0.99,IF(S38="BRAVES",1,IF(S38="METS",0.96,IF(S38="PHILLIES",1.02,IF(S38="BLUE JAYS",1.01,IF(S38="ORIOLES",0.99,IF(S38="RAYS",1.01,IF(S38="GUARDIANS",0.99,IF(S38="WHITE SOX",0.98,IF(S38="ANGELS",1.01,IF(S38="D-BACKS",1.01,IF(S38="BREWERS",0.99,IF(S38="CARDINALS",0.96,IF(S38="PIRATES",1.02,IF(S38="NATIONALS",1,1))))))))))))))))))))))))))))))*IF(W38="",1,(1+((W38-70)/10*0.035)))*IF(U38="DOME",1,IF(U38="IN",1-(V38*0.01),IF(U38="OUT",1+(V38*0.01),IF(OR(U38="L-R",U38="R-L"),1+(V38*0.005),1))))</f>
        <v/>
      </c>
      <c r="U38" s="15" t="inlineStr">
        <is>
          <t>OUT</t>
        </is>
      </c>
      <c r="V38" s="15" t="n"/>
      <c r="W38" s="15" t="n">
        <v>53</v>
      </c>
      <c r="Y38">
        <f>B38 &amp; " vs. " &amp; H38</f>
        <v/>
      </c>
      <c r="Z38">
        <f>TRIM(LEFT(Y38, FIND("vs.", Y38)-1))</f>
        <v/>
      </c>
      <c r="AA38">
        <f>TRIM(MID(Y38, FIND(" vs. ", Y38)+4, 100))</f>
        <v/>
      </c>
      <c r="AB38">
        <f>IF(Q38 &gt; VALUE(AC38), "O " &amp; AC38, IF(Q38 &lt; VALUE(AC38), "U " &amp; AC38, AC38))</f>
        <v/>
      </c>
      <c r="AC38" s="15">
        <f>IF(OR(O38="-", P38="-"), "-", MROUND(O38 + P38, 0.5))</f>
        <v/>
      </c>
      <c r="AD38" s="15">
        <f>VALUE(TRIM(RIGHT(AF38, LEN(AF38) - FIND(" ", AF38))))</f>
        <v/>
      </c>
      <c r="AE38" s="15">
        <f>LEFT(AF38,FIND(" ",AF38)-1)</f>
        <v/>
      </c>
      <c r="AF38" s="15">
        <f>IF(OR(O38="-", P38="-"), "-",
IF(MROUND(ABS(O38-P38),0.5)&lt;=0.5,
IF(O38&gt;P38, B38 &amp; " ML", H38 &amp; " ML"),
IF(MROUND(ABS(O38-P38),0.5)=1,
IF(O38&gt;P38, H38 &amp; " +1.5", B38 &amp; " +1.5"),
IF(O38&gt;P38, B38 &amp; " -1.5", H38 &amp; " -1.5")
)
)
)</f>
        <v/>
      </c>
      <c r="AG38" s="15">
        <f>_xlfn.LET(
_xlpm.winA, O38^1.83 / (O38^1.83 + P38^1.83),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9">
      <c r="A39" s="14" t="n">
        <v>46110</v>
      </c>
      <c r="B39" s="15" t="inlineStr">
        <is>
          <t>ROYALS</t>
        </is>
      </c>
      <c r="C39">
        <f>VLOOKUP(B39, 'MLB Data'!$B$5:$D$34, 3, FALSE)</f>
        <v/>
      </c>
      <c r="D39" s="16" t="inlineStr">
        <is>
          <t>LUGO</t>
        </is>
      </c>
      <c r="E39" s="17" t="n">
        <v>4.53</v>
      </c>
      <c r="F39" s="17">
        <f>VLOOKUP(B39, 'MLB Data'!$F$2:$H$34, 3, FALSE)</f>
        <v/>
      </c>
      <c r="G39" s="17">
        <f>IF((E39*0.6+F39*0.4)&lt;2.5, 2.8, IF((E39*0.6+F39*0.4)&gt;5.5, 5.2, (E39*0.6+F39*0.4)))</f>
        <v/>
      </c>
      <c r="H39" s="15" t="inlineStr">
        <is>
          <t>BRAVES</t>
        </is>
      </c>
      <c r="I39">
        <f>VLOOKUP(H39, 'MLB Data'!$B$5:$D$34, 3, FALSE)</f>
        <v/>
      </c>
      <c r="J39" s="16" t="inlineStr">
        <is>
          <t>HOLMES</t>
        </is>
      </c>
      <c r="K39" t="n">
        <v>4.08</v>
      </c>
      <c r="L39" s="17">
        <f>VLOOKUP(H39, 'MLB Data'!$F$2:$H$34, 3, FALSE)</f>
        <v/>
      </c>
      <c r="M39" s="17">
        <f>IF((K39*0.6+L39*0.4)&lt;2.5, 2.8, IF((K39*0.6+L39*0.4)&gt;5.5, 5.2, (K39*0.6+L39*0.4)))</f>
        <v/>
      </c>
      <c r="O39" s="18">
        <f>(C39/100) * 4.45 * (M39 / 4.2) * T39</f>
        <v/>
      </c>
      <c r="P39" s="18">
        <f>(I39/100) * 4.45 * (G39 / 4.2) * T39</f>
        <v/>
      </c>
      <c r="Q39" s="18">
        <f>(O39+P39)</f>
        <v/>
      </c>
      <c r="S39" s="15">
        <f>H39</f>
        <v/>
      </c>
      <c r="T39" s="19">
        <f>IF(S39="ROCKIES",1.13,IF(S39="ATHLETICS",1.03,IF(S39="ROYALS",1.03,IF(S39="TWINS",1,IF(S39="TIGERS",1,IF(S39="MARLINS",1.01,IF(S39="REDS",1.05,IF(S39="RED SOX",1.04,IF(S39="YANKEES",1.02,IF(S39="DODGERS",0.99,IF(S39="PADRES",0.96,IF(S39="CUBS",0.98,IF(S39="GIANTS",0.97,IF(S39="MARINERS",0.94,IF(S39="RANGERS",1,IF(S39="ASTROS",0.99,IF(S39="BRAVES",1,IF(S39="METS",0.96,IF(S39="PHILLIES",1.02,IF(S39="BLUE JAYS",1.01,IF(S39="ORIOLES",0.99,IF(S39="RAYS",1.01,IF(S39="GUARDIANS",0.99,IF(S39="WHITE SOX",0.98,IF(S39="ANGELS",1.01,IF(S39="D-BACKS",1.01,IF(S39="BREWERS",0.99,IF(S39="CARDINALS",0.96,IF(S39="PIRATES",1.02,IF(S39="NATIONALS",1,1))))))))))))))))))))))))))))))*IF(W39="",1,(1+((W39-70)/10*0.035)))*IF(U39="DOME",1,IF(U39="IN",1-(V39*0.01),IF(U39="OUT",1+(V39*0.01),IF(OR(U39="L-R",U39="R-L"),1+(V39*0.005),1))))</f>
        <v/>
      </c>
      <c r="U39" s="15" t="inlineStr">
        <is>
          <t>R-L</t>
        </is>
      </c>
      <c r="V39" s="15" t="n"/>
      <c r="W39" s="15" t="n">
        <v>60</v>
      </c>
      <c r="Y39">
        <f>B39 &amp; " vs. " &amp; H39</f>
        <v/>
      </c>
      <c r="Z39">
        <f>TRIM(LEFT(Y39, FIND("vs.", Y39)-1))</f>
        <v/>
      </c>
      <c r="AA39">
        <f>TRIM(MID(Y39, FIND(" vs. ", Y39)+4, 100))</f>
        <v/>
      </c>
      <c r="AB39">
        <f>IF(Q39 &gt; VALUE(AC39), "O " &amp; AC39, IF(Q39 &lt; VALUE(AC39), "U " &amp; AC39, AC39))</f>
        <v/>
      </c>
      <c r="AC39" s="15">
        <f>IF(OR(O39="-", P39="-"), "-", MROUND(O39 + P39, 0.5))</f>
        <v/>
      </c>
      <c r="AD39" s="15">
        <f>VALUE(TRIM(RIGHT(AF39, LEN(AF39) - FIND(" ", AF39))))</f>
        <v/>
      </c>
      <c r="AE39" s="15">
        <f>LEFT(AF39,FIND(" ",AF39)-1)</f>
        <v/>
      </c>
      <c r="AF39" s="15">
        <f>IF(OR(O39="-", P39="-"), "-",
IF(MROUND(ABS(O39-P39),0.5)&lt;=0.5,
IF(O39&gt;P39, B39 &amp; " ML", H39 &amp; " ML"),
IF(MROUND(ABS(O39-P39),0.5)=1,
IF(O39&gt;P39, H39 &amp; " +1.5", B39 &amp; " +1.5"),
IF(O39&gt;P39, B39 &amp; " -1.5", H39 &amp; " -1.5")
)
)
)</f>
        <v/>
      </c>
      <c r="AG39" s="15">
        <f>_xlfn.LET(
_xlpm.winA, O39^1.83 / (O39^1.83 + P39^1.83),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0">
      <c r="A40" s="14" t="n">
        <v>46110</v>
      </c>
      <c r="B40" s="15" t="inlineStr">
        <is>
          <t>ATHLETICS</t>
        </is>
      </c>
      <c r="C40">
        <f>VLOOKUP(B40, 'MLB Data'!$B$5:$D$34, 3, FALSE)</f>
        <v/>
      </c>
      <c r="D40" s="16" t="inlineStr">
        <is>
          <t>MORALES</t>
        </is>
      </c>
      <c r="E40" s="17" t="n">
        <v>4.37</v>
      </c>
      <c r="F40" s="17">
        <f>VLOOKUP(B40, 'MLB Data'!$F$2:$H$34, 3, FALSE)</f>
        <v/>
      </c>
      <c r="G40" s="17">
        <f>IF((E40*0.6+F40*0.4)&lt;2.5, 2.8, IF((E40*0.6+F40*0.4)&gt;5.5, 5.2, (E40*0.6+F40*0.4)))</f>
        <v/>
      </c>
      <c r="H40" s="15" t="inlineStr">
        <is>
          <t>BLUE JAYS</t>
        </is>
      </c>
      <c r="I40">
        <f>VLOOKUP(H40, 'MLB Data'!$B$5:$D$34, 3, FALSE)</f>
        <v/>
      </c>
      <c r="J40" s="16" t="inlineStr">
        <is>
          <t>LAUER</t>
        </is>
      </c>
      <c r="K40" t="n">
        <v>4.22</v>
      </c>
      <c r="L40" s="17">
        <f>VLOOKUP(H40, 'MLB Data'!$F$2:$H$34, 3, FALSE)</f>
        <v/>
      </c>
      <c r="M40" s="17">
        <f>IF((K40*0.6+L40*0.4)&lt;2.5, 2.8, IF((K40*0.6+L40*0.4)&gt;5.5, 5.2, (K40*0.6+L40*0.4)))</f>
        <v/>
      </c>
      <c r="O40" s="18">
        <f>(C40/100) * 4.45 * (M40 / 4.2) * T40</f>
        <v/>
      </c>
      <c r="P40" s="18">
        <f>(I40/100) * 4.45 * (G40 / 4.2) * T40</f>
        <v/>
      </c>
      <c r="Q40" s="18">
        <f>(O40+P40)</f>
        <v/>
      </c>
      <c r="S40" s="15">
        <f>H40</f>
        <v/>
      </c>
      <c r="T40" s="19">
        <f>IF(S40="ROCKIES",1.13,IF(S40="ATHLETICS",1.03,IF(S40="ROYALS",1.03,IF(S40="TWINS",1,IF(S40="TIGERS",1,IF(S40="MARLINS",1.01,IF(S40="REDS",1.05,IF(S40="RED SOX",1.04,IF(S40="YANKEES",1.02,IF(S40="DODGERS",0.99,IF(S40="PADRES",0.96,IF(S40="CUBS",0.98,IF(S40="GIANTS",0.97,IF(S40="MARINERS",0.94,IF(S40="RANGERS",1,IF(S40="ASTROS",0.99,IF(S40="BRAVES",1,IF(S40="METS",0.96,IF(S40="PHILLIES",1.02,IF(S40="BLUE JAYS",1.01,IF(S40="ORIOLES",0.99,IF(S40="RAYS",1.01,IF(S40="GUARDIANS",0.99,IF(S40="WHITE SOX",0.98,IF(S40="ANGELS",1.01,IF(S40="D-BACKS",1.01,IF(S40="BREWERS",0.99,IF(S40="CARDINALS",0.96,IF(S40="PIRATES",1.02,IF(S40="NATIONALS",1,1))))))))))))))))))))))))))))))*IF(W40="",1,(1+((W40-70)/10*0.035)))*IF(U40="DOME",1,IF(U40="IN",1-(V40*0.01),IF(U40="OUT",1+(V40*0.01),IF(OR(U40="L-R",U40="R-L"),1+(V40*0.005),1))))</f>
        <v/>
      </c>
      <c r="U40" s="15" t="inlineStr">
        <is>
          <t>DOME</t>
        </is>
      </c>
      <c r="V40" s="15" t="n"/>
      <c r="W40" s="15" t="n"/>
      <c r="Y40">
        <f>B40 &amp; " vs. " &amp; H40</f>
        <v/>
      </c>
      <c r="Z40">
        <f>TRIM(LEFT(Y40, FIND("vs.", Y40)-1))</f>
        <v/>
      </c>
      <c r="AA40">
        <f>TRIM(MID(Y40, FIND(" vs. ", Y40)+4, 100))</f>
        <v/>
      </c>
      <c r="AB40">
        <f>IF(Q40 &gt; VALUE(AC40), "O " &amp; AC40, IF(Q40 &lt; VALUE(AC40), "U " &amp; AC40, AC40))</f>
        <v/>
      </c>
      <c r="AC40" s="15">
        <f>IF(OR(O40="-", P40="-"), "-", MROUND(O40 + P40, 0.5))</f>
        <v/>
      </c>
      <c r="AD40" s="15">
        <f>VALUE(TRIM(RIGHT(AF40, LEN(AF40) - FIND(" ", AF40))))</f>
        <v/>
      </c>
      <c r="AE40" s="15">
        <f>LEFT(AF40,FIND(" ",AF40)-1)</f>
        <v/>
      </c>
      <c r="AF40" s="15">
        <f>IF(OR(O40="-", P40="-"), "-",
IF(MROUND(ABS(O40-P40),0.5)&lt;=0.5,
IF(O40&gt;P40, B40 &amp; " ML", H40 &amp; " ML"),
IF(MROUND(ABS(O40-P40),0.5)=1,
IF(O40&gt;P40, H40 &amp; " +1.5", B40 &amp; " +1.5"),
IF(O40&gt;P40, B40 &amp; " -1.5", H40 &amp; " -1.5")
)
)
)</f>
        <v/>
      </c>
      <c r="AG40" s="15">
        <f>_xlfn.LET(
_xlpm.winA, O40^1.83 / (O40^1.83 + P40^1.83),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1">
      <c r="A41" s="14" t="n">
        <v>46110</v>
      </c>
      <c r="B41" s="15" t="inlineStr">
        <is>
          <t>RED SOX</t>
        </is>
      </c>
      <c r="C41">
        <f>VLOOKUP(B41, 'MLB Data'!$B$5:$D$34, 3, FALSE)</f>
        <v/>
      </c>
      <c r="D41" s="16" t="inlineStr">
        <is>
          <t>EARLY</t>
        </is>
      </c>
      <c r="E41" s="17" t="n">
        <v>2.35</v>
      </c>
      <c r="F41" s="17">
        <f>VLOOKUP(B41, 'MLB Data'!$F$2:$H$34, 3, FALSE)</f>
        <v/>
      </c>
      <c r="G41" s="17">
        <f>IF((E41*0.6+F41*0.4)&lt;2.5, 2.8, IF((E41*0.6+F41*0.4)&gt;5.5, 5.2, (E41*0.6+F41*0.4)))</f>
        <v/>
      </c>
      <c r="H41" s="15" t="inlineStr">
        <is>
          <t>REDS</t>
        </is>
      </c>
      <c r="I41">
        <f>VLOOKUP(H41, 'MLB Data'!$B$5:$D$34, 3, FALSE)</f>
        <v/>
      </c>
      <c r="J41" s="16" t="inlineStr">
        <is>
          <t>LOWDER</t>
        </is>
      </c>
      <c r="K41" t="n">
        <v>3.75</v>
      </c>
      <c r="L41" s="17">
        <f>VLOOKUP(H41, 'MLB Data'!$F$2:$H$34, 3, FALSE)</f>
        <v/>
      </c>
      <c r="M41" s="17">
        <f>IF((K41*0.6+L41*0.4)&lt;2.5, 2.8, IF((K41*0.6+L41*0.4)&gt;5.5, 5.2, (K41*0.6+L41*0.4)))</f>
        <v/>
      </c>
      <c r="O41" s="18">
        <f>(C41/100) * 4.45 * (M41 / 4.2) * T41</f>
        <v/>
      </c>
      <c r="P41" s="18">
        <f>(I41/100) * 4.45 * (G41 / 4.2) * T41</f>
        <v/>
      </c>
      <c r="Q41" s="18">
        <f>(O41+P41)</f>
        <v/>
      </c>
      <c r="S41" s="15">
        <f>H41</f>
        <v/>
      </c>
      <c r="T41" s="19">
        <f>IF(S41="ROCKIES",1.13,IF(S41="ATHLETICS",1.03,IF(S41="ROYALS",1.03,IF(S41="TWINS",1,IF(S41="TIGERS",1,IF(S41="MARLINS",1.01,IF(S41="REDS",1.05,IF(S41="RED SOX",1.04,IF(S41="YANKEES",1.02,IF(S41="DODGERS",0.99,IF(S41="PADRES",0.96,IF(S41="CUBS",0.98,IF(S41="GIANTS",0.97,IF(S41="MARINERS",0.94,IF(S41="RANGERS",1,IF(S41="ASTROS",0.99,IF(S41="BRAVES",1,IF(S41="METS",0.96,IF(S41="PHILLIES",1.02,IF(S41="BLUE JAYS",1.01,IF(S41="ORIOLES",0.99,IF(S41="RAYS",1.01,IF(S41="GUARDIANS",0.99,IF(S41="WHITE SOX",0.98,IF(S41="ANGELS",1.01,IF(S41="D-BACKS",1.01,IF(S41="BREWERS",0.99,IF(S41="CARDINALS",0.96,IF(S41="PIRATES",1.02,IF(S41="NATIONALS",1,1))))))))))))))))))))))))))))))*IF(W41="",1,(1+((W41-70)/10*0.035)))*IF(U41="DOME",1,IF(U41="IN",1-(V41*0.01),IF(U41="OUT",1+(V41*0.01),IF(OR(U41="L-R",U41="R-L"),1+(V41*0.005),1))))</f>
        <v/>
      </c>
      <c r="U41" s="15" t="inlineStr">
        <is>
          <t>R-L</t>
        </is>
      </c>
      <c r="V41" s="15" t="n"/>
      <c r="W41" s="15" t="n">
        <v>60</v>
      </c>
      <c r="Y41">
        <f>B41 &amp; " vs. " &amp; H41</f>
        <v/>
      </c>
      <c r="Z41">
        <f>TRIM(LEFT(Y41, FIND("vs.", Y41)-1))</f>
        <v/>
      </c>
      <c r="AA41">
        <f>TRIM(MID(Y41, FIND(" vs. ", Y41)+4, 100))</f>
        <v/>
      </c>
      <c r="AB41">
        <f>IF(Q41 &gt; VALUE(AC41), "O " &amp; AC41, IF(Q41 &lt; VALUE(AC41), "U " &amp; AC41, AC41))</f>
        <v/>
      </c>
      <c r="AC41" s="15">
        <f>IF(OR(O41="-", P41="-"), "-", MROUND(O41 + P41, 0.5))</f>
        <v/>
      </c>
      <c r="AD41" s="15">
        <f>VALUE(TRIM(RIGHT(AF41, LEN(AF41) - FIND(" ", AF41))))</f>
        <v/>
      </c>
      <c r="AE41" s="15">
        <f>LEFT(AF41,FIND(" ",AF41)-1)</f>
        <v/>
      </c>
      <c r="AF41" s="15">
        <f>IF(OR(O41="-", P41="-"), "-",
IF(MROUND(ABS(O41-P41),0.5)&lt;=0.5,
IF(O41&gt;P41, B41 &amp; " ML", H41 &amp; " ML"),
IF(MROUND(ABS(O41-P41),0.5)=1,
IF(O41&gt;P41, H41 &amp; " +1.5", B41 &amp; " +1.5"),
IF(O41&gt;P41, B41 &amp; " -1.5", H41 &amp; " -1.5")
)
)
)</f>
        <v/>
      </c>
      <c r="AG41" s="15">
        <f>_xlfn.LET(
_xlpm.winA, O41^1.83 / (O41^1.83 + P41^1.83),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2">
      <c r="A42" s="14" t="n">
        <v>46110</v>
      </c>
      <c r="B42" s="15" t="inlineStr">
        <is>
          <t>PIRATES</t>
        </is>
      </c>
      <c r="C42">
        <f>VLOOKUP(B42, 'MLB Data'!$B$5:$D$34, 3, FALSE)</f>
        <v/>
      </c>
      <c r="D42" s="16" t="inlineStr">
        <is>
          <t>MLODZINSKI</t>
        </is>
      </c>
      <c r="E42" s="17" t="n">
        <v>4.26</v>
      </c>
      <c r="F42" s="17">
        <f>VLOOKUP(B42, 'MLB Data'!$F$2:$H$34, 3, FALSE)</f>
        <v/>
      </c>
      <c r="G42" s="17">
        <f>IF((E42*0.6+F42*0.4)&lt;2.5, 2.8, IF((E42*0.6+F42*0.4)&gt;5.5, 5.2, (E42*0.6+F42*0.4)))</f>
        <v/>
      </c>
      <c r="H42" s="15" t="inlineStr">
        <is>
          <t>METS</t>
        </is>
      </c>
      <c r="I42">
        <f>VLOOKUP(H42, 'MLB Data'!$B$5:$D$34, 3, FALSE)</f>
        <v/>
      </c>
      <c r="J42" s="16" t="inlineStr">
        <is>
          <t>MCLEAN</t>
        </is>
      </c>
      <c r="K42" t="n">
        <v>2.78</v>
      </c>
      <c r="L42" s="17">
        <f>VLOOKUP(H42, 'MLB Data'!$F$2:$H$34, 3, FALSE)</f>
        <v/>
      </c>
      <c r="M42" s="17">
        <f>IF((K42*0.6+L42*0.4)&lt;2.5, 2.8, IF((K42*0.6+L42*0.4)&gt;5.5, 5.2, (K42*0.6+L42*0.4)))</f>
        <v/>
      </c>
      <c r="O42" s="18">
        <f>(C42/100) * 4.45 * (M42 / 4.2) * T42</f>
        <v/>
      </c>
      <c r="P42" s="18">
        <f>(I42/100) * 4.45 * (G42 / 4.2) * T42</f>
        <v/>
      </c>
      <c r="Q42" s="18">
        <f>(O42+P42)</f>
        <v/>
      </c>
      <c r="S42" s="15">
        <f>H42</f>
        <v/>
      </c>
      <c r="T42" s="19">
        <f>IF(S42="ROCKIES",1.13,IF(S42="ATHLETICS",1.03,IF(S42="ROYALS",1.03,IF(S42="TWINS",1,IF(S42="TIGERS",1,IF(S42="MARLINS",1.01,IF(S42="REDS",1.05,IF(S42="RED SOX",1.04,IF(S42="YANKEES",1.02,IF(S42="DODGERS",0.99,IF(S42="PADRES",0.96,IF(S42="CUBS",0.98,IF(S42="GIANTS",0.97,IF(S42="MARINERS",0.94,IF(S42="RANGERS",1,IF(S42="ASTROS",0.99,IF(S42="BRAVES",1,IF(S42="METS",0.96,IF(S42="PHILLIES",1.02,IF(S42="BLUE JAYS",1.01,IF(S42="ORIOLES",0.99,IF(S42="RAYS",1.01,IF(S42="GUARDIANS",0.99,IF(S42="WHITE SOX",0.98,IF(S42="ANGELS",1.01,IF(S42="D-BACKS",1.01,IF(S42="BREWERS",0.99,IF(S42="CARDINALS",0.96,IF(S42="PIRATES",1.02,IF(S42="NATIONALS",1,1))))))))))))))))))))))))))))))*IF(W42="",1,(1+((W42-70)/10*0.035)))*IF(U42="DOME",1,IF(U42="IN",1-(V42*0.01),IF(U42="OUT",1+(V42*0.01),IF(OR(U42="L-R",U42="R-L"),1+(V42*0.005),1))))</f>
        <v/>
      </c>
      <c r="U42" s="15" t="inlineStr">
        <is>
          <t>R-L</t>
        </is>
      </c>
      <c r="V42" s="15" t="n"/>
      <c r="W42" s="15" t="n">
        <v>49</v>
      </c>
      <c r="Y42">
        <f>B42 &amp; " vs. " &amp; H42</f>
        <v/>
      </c>
      <c r="Z42">
        <f>TRIM(LEFT(Y42, FIND("vs.", Y42)-1))</f>
        <v/>
      </c>
      <c r="AA42">
        <f>TRIM(MID(Y42, FIND(" vs. ", Y42)+4, 100))</f>
        <v/>
      </c>
      <c r="AB42">
        <f>IF(Q42 &gt; VALUE(AC42), "O " &amp; AC42, IF(Q42 &lt; VALUE(AC42), "U " &amp; AC42, AC42))</f>
        <v/>
      </c>
      <c r="AC42" s="20">
        <f>IF(OR(O42="-", P42="-"), "-", MROUND(O42 + P42, 0.5))</f>
        <v/>
      </c>
      <c r="AD42" s="15">
        <f>VALUE(TRIM(RIGHT(AF42, LEN(AF42) - FIND(" ", AF42))))</f>
        <v/>
      </c>
      <c r="AE42" s="15">
        <f>LEFT(AF42,FIND(" ",AF42)-1)</f>
        <v/>
      </c>
      <c r="AF42" s="15">
        <f>IF(OR(O42="-", P42="-"), "-",
IF(MROUND(ABS(O42-P42),0.5)&lt;=0.5,
IF(O42&gt;P42, B42 &amp; " ML", H42 &amp; " ML"),
IF(MROUND(ABS(O42-P42),0.5)=1,
IF(O42&gt;P42, H42 &amp; " +1.5", B42 &amp; " +1.5"),
IF(O42&gt;P42, B42 &amp; " -1.5", H42 &amp; " -1.5")
)
)
)</f>
        <v/>
      </c>
      <c r="AG42" s="15">
        <f>_xlfn.LET(
_xlpm.winA, O42^1.83 / (O42^1.83 + P42^1.83),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3">
      <c r="A43" s="14" t="n">
        <v>46110</v>
      </c>
      <c r="B43" s="15" t="inlineStr">
        <is>
          <t>ROCKIES</t>
        </is>
      </c>
      <c r="C43">
        <f>VLOOKUP(B43, 'MLB Data'!$B$5:$D$34, 3, FALSE)</f>
        <v/>
      </c>
      <c r="D43" s="16" t="inlineStr">
        <is>
          <t>QUINTANA</t>
        </is>
      </c>
      <c r="E43" s="17" t="n">
        <v>4.92</v>
      </c>
      <c r="F43" s="17">
        <f>VLOOKUP(B43, 'MLB Data'!$F$2:$H$34, 3, FALSE)</f>
        <v/>
      </c>
      <c r="G43" s="17">
        <f>IF((E43*0.6+F43*0.4)&lt;2.5, 2.8, IF((E43*0.6+F43*0.4)&gt;5.5, 5.2, (E43*0.6+F43*0.4)))</f>
        <v/>
      </c>
      <c r="H43" s="15" t="inlineStr">
        <is>
          <t>MARLINS</t>
        </is>
      </c>
      <c r="I43">
        <f>VLOOKUP(H43, 'MLB Data'!$B$5:$D$34, 3, FALSE)</f>
        <v/>
      </c>
      <c r="J43" s="16" t="inlineStr">
        <is>
          <t>MEYER</t>
        </is>
      </c>
      <c r="K43" t="n">
        <v>3.51</v>
      </c>
      <c r="L43" s="17">
        <f>VLOOKUP(H43, 'MLB Data'!$F$2:$H$34, 3, FALSE)</f>
        <v/>
      </c>
      <c r="M43" s="17">
        <f>IF((K43*0.6+L43*0.4)&lt;2.5, 2.8, IF((K43*0.6+L43*0.4)&gt;5.5, 5.2, (K43*0.6+L43*0.4)))</f>
        <v/>
      </c>
      <c r="O43" s="18">
        <f>(C43/100) * 4.45 * (M43 / 4.2) * T43</f>
        <v/>
      </c>
      <c r="P43" s="18">
        <f>(I43/100) * 4.45 * (G43 / 4.2) * T43</f>
        <v/>
      </c>
      <c r="Q43" s="18">
        <f>(O43+P43)</f>
        <v/>
      </c>
      <c r="S43" s="15">
        <f>H43</f>
        <v/>
      </c>
      <c r="T43" s="19">
        <f>IF(S43="ROCKIES",1.13,IF(S43="ATHLETICS",1.03,IF(S43="ROYALS",1.03,IF(S43="TWINS",1,IF(S43="TIGERS",1,IF(S43="MARLINS",1.01,IF(S43="REDS",1.05,IF(S43="RED SOX",1.04,IF(S43="YANKEES",1.02,IF(S43="DODGERS",0.99,IF(S43="PADRES",0.96,IF(S43="CUBS",0.98,IF(S43="GIANTS",0.97,IF(S43="MARINERS",0.94,IF(S43="RANGERS",1,IF(S43="ASTROS",0.99,IF(S43="BRAVES",1,IF(S43="METS",0.96,IF(S43="PHILLIES",1.02,IF(S43="BLUE JAYS",1.01,IF(S43="ORIOLES",0.99,IF(S43="RAYS",1.01,IF(S43="GUARDIANS",0.99,IF(S43="WHITE SOX",0.98,IF(S43="ANGELS",1.01,IF(S43="D-BACKS",1.01,IF(S43="BREWERS",0.99,IF(S43="CARDINALS",0.96,IF(S43="PIRATES",1.02,IF(S43="NATIONALS",1,1))))))))))))))))))))))))))))))*IF(W43="",1,(1+((W43-70)/10*0.035)))*IF(U43="DOME",1,IF(U43="IN",1-(V43*0.01),IF(U43="OUT",1+(V43*0.01),IF(OR(U43="L-R",U43="R-L"),1+(V43*0.005),1))))</f>
        <v/>
      </c>
      <c r="U43" s="15" t="inlineStr">
        <is>
          <t>DOME</t>
        </is>
      </c>
      <c r="V43" s="15" t="n"/>
      <c r="W43" s="15" t="n"/>
      <c r="Y43">
        <f>B43 &amp; " vs. " &amp; H43</f>
        <v/>
      </c>
      <c r="Z43">
        <f>TRIM(LEFT(Y43, FIND("vs.", Y43)-1))</f>
        <v/>
      </c>
      <c r="AA43">
        <f>TRIM(MID(Y43, FIND(" vs. ", Y43)+4, 100))</f>
        <v/>
      </c>
      <c r="AB43">
        <f>IF(Q43 &gt; VALUE(AC43), "O " &amp; AC43, IF(Q43 &lt; VALUE(AC43), "U " &amp; AC43, AC43))</f>
        <v/>
      </c>
      <c r="AC43" s="15">
        <f>IF(OR(O43="-", P43="-"), "-", MROUND(O43 + P43, 0.5))</f>
        <v/>
      </c>
      <c r="AD43" s="15">
        <f>VALUE(TRIM(RIGHT(AF43, LEN(AF43) - FIND(" ", AF43))))</f>
        <v/>
      </c>
      <c r="AE43" s="15">
        <f>LEFT(AF43,FIND(" ",AF43)-1)</f>
        <v/>
      </c>
      <c r="AF43" s="15">
        <f>IF(OR(O43="-", P43="-"), "-",
IF(MROUND(ABS(O43-P43),0.5)&lt;=0.5,
IF(O43&gt;P43, B43 &amp; " ML", H43 &amp; " ML"),
IF(MROUND(ABS(O43-P43),0.5)=1,
IF(O43&gt;P43, H43 &amp; " +1.5", B43 &amp; " +1.5"),
IF(O43&gt;P43, B43 &amp; " -1.5", H43 &amp; " -1.5")
)
)
)</f>
        <v/>
      </c>
      <c r="AG43" s="15">
        <f>_xlfn.LET(
_xlpm.winA, O43^1.83 / (O43^1.83 + P43^1.83),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4">
      <c r="A44" s="14" t="n">
        <v>46110</v>
      </c>
      <c r="B44" s="15" t="inlineStr">
        <is>
          <t>ANGELS</t>
        </is>
      </c>
      <c r="C44">
        <f>VLOOKUP(B44, 'MLB Data'!$B$5:$D$34, 3, FALSE)</f>
        <v/>
      </c>
      <c r="D44" s="16" t="inlineStr">
        <is>
          <t>KOCHANOWICZ</t>
        </is>
      </c>
      <c r="E44" s="17" t="n">
        <v>5.18</v>
      </c>
      <c r="F44" s="17">
        <f>VLOOKUP(B44, 'MLB Data'!$F$2:$H$34, 3, FALSE)</f>
        <v/>
      </c>
      <c r="G44" s="17">
        <f>IF((E44*0.6+F44*0.4)&lt;2.5, 2.8, IF((E44*0.6+F44*0.4)&gt;5.5, 5.2, (E44*0.6+F44*0.4)))</f>
        <v/>
      </c>
      <c r="H44" s="15" t="inlineStr">
        <is>
          <t>ASTROS</t>
        </is>
      </c>
      <c r="I44">
        <f>VLOOKUP(H44, 'MLB Data'!$B$5:$D$34, 3, FALSE)</f>
        <v/>
      </c>
      <c r="J44" s="16" t="inlineStr">
        <is>
          <t>IMAI</t>
        </is>
      </c>
      <c r="K44" t="n">
        <v>2.26</v>
      </c>
      <c r="L44" s="17">
        <f>VLOOKUP(H44, 'MLB Data'!$F$2:$H$34, 3, FALSE)</f>
        <v/>
      </c>
      <c r="M44" s="17">
        <f>IF((K44*0.6+L44*0.4)&lt;2.5, 2.8, IF((K44*0.6+L44*0.4)&gt;5.5, 5.2, (K44*0.6+L44*0.4)))</f>
        <v/>
      </c>
      <c r="O44" s="18">
        <f>(C44/100) * 4.45 * (M44 / 4.2) * T44</f>
        <v/>
      </c>
      <c r="P44" s="18">
        <f>(I44/100) * 4.45 * (G44 / 4.2) * T44</f>
        <v/>
      </c>
      <c r="Q44" s="18">
        <f>(O44+P44)</f>
        <v/>
      </c>
      <c r="S44" s="15">
        <f>H44</f>
        <v/>
      </c>
      <c r="T44" s="19">
        <f>IF(S44="ROCKIES",1.13,IF(S44="ATHLETICS",1.03,IF(S44="ROYALS",1.03,IF(S44="TWINS",1,IF(S44="TIGERS",1,IF(S44="MARLINS",1.01,IF(S44="REDS",1.05,IF(S44="RED SOX",1.04,IF(S44="YANKEES",1.02,IF(S44="DODGERS",0.99,IF(S44="PADRES",0.96,IF(S44="CUBS",0.98,IF(S44="GIANTS",0.97,IF(S44="MARINERS",0.94,IF(S44="RANGERS",1,IF(S44="ASTROS",0.99,IF(S44="BRAVES",1,IF(S44="METS",0.96,IF(S44="PHILLIES",1.02,IF(S44="BLUE JAYS",1.01,IF(S44="ORIOLES",0.99,IF(S44="RAYS",1.01,IF(S44="GUARDIANS",0.99,IF(S44="WHITE SOX",0.98,IF(S44="ANGELS",1.01,IF(S44="D-BACKS",1.01,IF(S44="BREWERS",0.99,IF(S44="CARDINALS",0.96,IF(S44="PIRATES",1.02,IF(S44="NATIONALS",1,1))))))))))))))))))))))))))))))*IF(W44="",1,(1+((W44-70)/10*0.035)))*IF(U44="DOME",1,IF(U44="IN",1-(V44*0.01),IF(U44="OUT",1+(V44*0.01),IF(OR(U44="L-R",U44="R-L"),1+(V44*0.005),1))))</f>
        <v/>
      </c>
      <c r="U44" s="15" t="inlineStr">
        <is>
          <t>DOME</t>
        </is>
      </c>
      <c r="V44" s="15" t="n"/>
      <c r="W44" s="15" t="n"/>
      <c r="Y44">
        <f>B44 &amp; " vs. " &amp; H44</f>
        <v/>
      </c>
      <c r="Z44">
        <f>TRIM(LEFT(Y44, FIND("vs.", Y44)-1))</f>
        <v/>
      </c>
      <c r="AA44">
        <f>TRIM(MID(Y44, FIND(" vs. ", Y44)+4, 100))</f>
        <v/>
      </c>
      <c r="AB44">
        <f>IF(Q44 &gt; VALUE(AC44), "O " &amp; AC44, IF(Q44 &lt; VALUE(AC44), "U " &amp; AC44, AC44))</f>
        <v/>
      </c>
      <c r="AC44" s="15">
        <f>IF(OR(O44="-", P44="-"), "-", MROUND(O44 + P44, 0.5))</f>
        <v/>
      </c>
      <c r="AD44" s="15">
        <f>VALUE(TRIM(RIGHT(AF44, LEN(AF44) - FIND(" ", AF44))))</f>
        <v/>
      </c>
      <c r="AE44" s="15">
        <f>LEFT(AF44,FIND(" ",AF44)-1)</f>
        <v/>
      </c>
      <c r="AF44" s="15">
        <f>IF(OR(O44="-", P44="-"), "-",
IF(MROUND(ABS(O44-P44),0.5)&lt;=0.5,
IF(O44&gt;P44, B44 &amp; " ML", H44 &amp; " ML"),
IF(MROUND(ABS(O44-P44),0.5)=1,
IF(O44&gt;P44, H44 &amp; " +1.5", B44 &amp; " +1.5"),
IF(O44&gt;P44, B44 &amp; " -1.5", H44 &amp; " -1.5")
)
)
)</f>
        <v/>
      </c>
      <c r="AG44" s="15">
        <f>_xlfn.LET(
_xlpm.winA, O44^1.83 / (O44^1.83 + P44^1.83),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5">
      <c r="A45" s="14" t="n">
        <v>46110</v>
      </c>
      <c r="B45" s="15" t="inlineStr">
        <is>
          <t>WHITE SOX</t>
        </is>
      </c>
      <c r="C45">
        <f>VLOOKUP(B45, 'MLB Data'!$B$5:$D$34, 3, FALSE)</f>
        <v/>
      </c>
      <c r="D45" s="16" t="inlineStr">
        <is>
          <t>KAY</t>
        </is>
      </c>
      <c r="E45" s="17" t="n">
        <v>2.53</v>
      </c>
      <c r="F45" s="17">
        <f>VLOOKUP(B45, 'MLB Data'!$F$2:$H$34, 3, FALSE)</f>
        <v/>
      </c>
      <c r="G45" s="17">
        <f>IF((E45*0.6+F45*0.4)&lt;2.5, 2.8, IF((E45*0.6+F45*0.4)&gt;5.5, 5.2, (E45*0.6+F45*0.4)))</f>
        <v/>
      </c>
      <c r="H45" s="15" t="inlineStr">
        <is>
          <t>BREWERS</t>
        </is>
      </c>
      <c r="I45">
        <f>VLOOKUP(H45, 'MLB Data'!$B$5:$D$34, 3, FALSE)</f>
        <v/>
      </c>
      <c r="J45" s="16" t="inlineStr">
        <is>
          <t>SPROAT</t>
        </is>
      </c>
      <c r="K45" t="n">
        <v>3.84</v>
      </c>
      <c r="L45" s="17">
        <f>VLOOKUP(H45, 'MLB Data'!$F$2:$H$34, 3, FALSE)</f>
        <v/>
      </c>
      <c r="M45" s="17">
        <f>IF((K45*0.6+L45*0.4)&lt;2.5, 2.8, IF((K45*0.6+L45*0.4)&gt;5.5, 5.2, (K45*0.6+L45*0.4)))</f>
        <v/>
      </c>
      <c r="O45" s="18">
        <f>(C45/100) * 4.45 * (M45 / 4.2) * T45</f>
        <v/>
      </c>
      <c r="P45" s="18">
        <f>(I45/100) * 4.45 * (G45 / 4.2) * T45</f>
        <v/>
      </c>
      <c r="Q45" s="18">
        <f>(O45+P45)</f>
        <v/>
      </c>
      <c r="S45" s="15">
        <f>H45</f>
        <v/>
      </c>
      <c r="T45" s="19">
        <f>IF(S45="ROCKIES",1.13,IF(S45="ATHLETICS",1.03,IF(S45="ROYALS",1.03,IF(S45="TWINS",1,IF(S45="TIGERS",1,IF(S45="MARLINS",1.01,IF(S45="REDS",1.05,IF(S45="RED SOX",1.04,IF(S45="YANKEES",1.02,IF(S45="DODGERS",0.99,IF(S45="PADRES",0.96,IF(S45="CUBS",0.98,IF(S45="GIANTS",0.97,IF(S45="MARINERS",0.94,IF(S45="RANGERS",1,IF(S45="ASTROS",0.99,IF(S45="BRAVES",1,IF(S45="METS",0.96,IF(S45="PHILLIES",1.02,IF(S45="BLUE JAYS",1.01,IF(S45="ORIOLES",0.99,IF(S45="RAYS",1.01,IF(S45="GUARDIANS",0.99,IF(S45="WHITE SOX",0.98,IF(S45="ANGELS",1.01,IF(S45="D-BACKS",1.01,IF(S45="BREWERS",0.99,IF(S45="CARDINALS",0.96,IF(S45="PIRATES",1.02,IF(S45="NATIONALS",1,1))))))))))))))))))))))))))))))*IF(W45="",1,(1+((W45-70)/10*0.035)))*IF(U45="DOME",1,IF(U45="IN",1-(V45*0.01),IF(U45="OUT",1+(V45*0.01),IF(OR(U45="L-R",U45="R-L"),1+(V45*0.005),1))))</f>
        <v/>
      </c>
      <c r="U45" s="15" t="inlineStr">
        <is>
          <t>DOME</t>
        </is>
      </c>
      <c r="V45" s="15" t="n"/>
      <c r="W45" s="15" t="n"/>
      <c r="Y45">
        <f>B45 &amp; " vs. " &amp; H45</f>
        <v/>
      </c>
      <c r="Z45">
        <f>TRIM(LEFT(Y45, FIND("vs.", Y45)-1))</f>
        <v/>
      </c>
      <c r="AA45">
        <f>TRIM(MID(Y45, FIND(" vs. ", Y45)+4, 100))</f>
        <v/>
      </c>
      <c r="AB45">
        <f>IF(Q45 &gt; VALUE(AC45), "O " &amp; AC45, IF(Q45 &lt; VALUE(AC45), "U " &amp; AC45, AC45))</f>
        <v/>
      </c>
      <c r="AC45" s="15">
        <f>IF(OR(O45="-", P45="-"), "-", MROUND(O45 + P45, 0.5))</f>
        <v/>
      </c>
      <c r="AD45" s="15">
        <f>VALUE(TRIM(RIGHT(AF45, LEN(AF45) - FIND(" ", AF45))))</f>
        <v/>
      </c>
      <c r="AE45" s="15">
        <f>LEFT(AF45,FIND(" ",AF45)-1)</f>
        <v/>
      </c>
      <c r="AF45" s="15">
        <f>IF(OR(O45="-", P45="-"), "-",
IF(MROUND(ABS(O45-P45),0.5)&lt;=0.5,
IF(O45&gt;P45, B45 &amp; " ML", H45 &amp; " ML"),
IF(MROUND(ABS(O45-P45),0.5)=1,
IF(O45&gt;P45, H45 &amp; " +1.5", B45 &amp; " +1.5"),
IF(O45&gt;P45, B45 &amp; " -1.5", H45 &amp; " -1.5")
)
)
)</f>
        <v/>
      </c>
      <c r="AG45" s="15">
        <f>_xlfn.LET(
_xlpm.winA, O45^1.83 / (O45^1.83 + P45^1.83),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6">
      <c r="A46" s="14" t="n">
        <v>46110</v>
      </c>
      <c r="B46" s="15" t="inlineStr">
        <is>
          <t>RAYS</t>
        </is>
      </c>
      <c r="C46">
        <f>VLOOKUP(B46, 'MLB Data'!$B$5:$D$34, 3, FALSE)</f>
        <v/>
      </c>
      <c r="D46" s="16" t="inlineStr">
        <is>
          <t>MATZ</t>
        </is>
      </c>
      <c r="E46" s="17" t="n">
        <v>1.89</v>
      </c>
      <c r="F46" s="17">
        <f>VLOOKUP(B46, 'MLB Data'!$F$2:$H$34, 3, FALSE)</f>
        <v/>
      </c>
      <c r="G46" s="17">
        <f>IF((E46*0.6+F46*0.4)&lt;2.5, 2.8, IF((E46*0.6+F46*0.4)&gt;5.5, 5.2, (E46*0.6+F46*0.4)))</f>
        <v/>
      </c>
      <c r="H46" s="15" t="inlineStr">
        <is>
          <t>CARDINALS</t>
        </is>
      </c>
      <c r="I46">
        <f>VLOOKUP(H46, 'MLB Data'!$B$5:$D$34, 3, FALSE)</f>
        <v/>
      </c>
      <c r="J46" s="16" t="inlineStr">
        <is>
          <t>MAY</t>
        </is>
      </c>
      <c r="K46" t="n">
        <v>4.49</v>
      </c>
      <c r="L46" s="17">
        <f>VLOOKUP(H46, 'MLB Data'!$F$2:$H$34, 3, FALSE)</f>
        <v/>
      </c>
      <c r="M46" s="17">
        <f>IF((K46*0.6+L46*0.4)&lt;2.5, 2.8, IF((K46*0.6+L46*0.4)&gt;5.5, 5.2, (K46*0.6+L46*0.4)))</f>
        <v/>
      </c>
      <c r="O46" s="18">
        <f>(C46/100) * 4.45 * (M46 / 4.2) * T46</f>
        <v/>
      </c>
      <c r="P46" s="18">
        <f>(I46/100) * 4.45 * (G46 / 4.2) * T46</f>
        <v/>
      </c>
      <c r="Q46" s="18">
        <f>(O46+P46)</f>
        <v/>
      </c>
      <c r="S46" s="15">
        <f>H46</f>
        <v/>
      </c>
      <c r="T46" s="19">
        <f>IF(S46="ROCKIES",1.13,IF(S46="ATHLETICS",1.03,IF(S46="ROYALS",1.03,IF(S46="TWINS",1,IF(S46="TIGERS",1,IF(S46="MARLINS",1.01,IF(S46="REDS",1.05,IF(S46="RED SOX",1.04,IF(S46="YANKEES",1.02,IF(S46="DODGERS",0.99,IF(S46="PADRES",0.96,IF(S46="CUBS",0.98,IF(S46="GIANTS",0.97,IF(S46="MARINERS",0.94,IF(S46="RANGERS",1,IF(S46="ASTROS",0.99,IF(S46="BRAVES",1,IF(S46="METS",0.96,IF(S46="PHILLIES",1.02,IF(S46="BLUE JAYS",1.01,IF(S46="ORIOLES",0.99,IF(S46="RAYS",1.01,IF(S46="GUARDIANS",0.99,IF(S46="WHITE SOX",0.98,IF(S46="ANGELS",1.01,IF(S46="D-BACKS",1.01,IF(S46="BREWERS",0.99,IF(S46="CARDINALS",0.96,IF(S46="PIRATES",1.02,IF(S46="NATIONALS",1,1))))))))))))))))))))))))))))))*IF(W46="",1,(1+((W46-70)/10*0.035)))*IF(U46="DOME",1,IF(U46="IN",1-(V46*0.01),IF(U46="OUT",1+(V46*0.01),IF(OR(U46="L-R",U46="R-L"),1+(V46*0.005),1))))</f>
        <v/>
      </c>
      <c r="U46" s="15" t="inlineStr">
        <is>
          <t>OUT</t>
        </is>
      </c>
      <c r="V46" s="15" t="n"/>
      <c r="W46" s="15" t="n">
        <v>67</v>
      </c>
      <c r="Y46">
        <f>B46 &amp; " vs. " &amp; H46</f>
        <v/>
      </c>
      <c r="Z46">
        <f>TRIM(LEFT(Y46, FIND("vs.", Y46)-1))</f>
        <v/>
      </c>
      <c r="AA46">
        <f>TRIM(MID(Y46, FIND(" vs. ", Y46)+4, 100))</f>
        <v/>
      </c>
      <c r="AB46">
        <f>IF(Q46 &gt; VALUE(AC46), "O " &amp; AC46, IF(Q46 &lt; VALUE(AC46), "U " &amp; AC46, AC46))</f>
        <v/>
      </c>
      <c r="AC46" s="15">
        <f>IF(OR(O46="-", P46="-"), "-", MROUND(O46 + P46, 0.5))</f>
        <v/>
      </c>
      <c r="AD46" s="15">
        <f>VALUE(TRIM(RIGHT(AF46, LEN(AF46) - FIND(" ", AF46))))</f>
        <v/>
      </c>
      <c r="AE46" s="15">
        <f>LEFT(AF46,FIND(" ",AF46)-1)</f>
        <v/>
      </c>
      <c r="AF46" s="15">
        <f>IF(OR(O46="-", P46="-"), "-",
IF(MROUND(ABS(O46-P46),0.5)&lt;=0.5,
IF(O46&gt;P46, B46 &amp; " ML", H46 &amp; " ML"),
IF(MROUND(ABS(O46-P46),0.5)=1,
IF(O46&gt;P46, H46 &amp; " +1.5", B46 &amp; " +1.5"),
IF(O46&gt;P46, B46 &amp; " -1.5", H46 &amp; " -1.5")
)
)
)</f>
        <v/>
      </c>
      <c r="AG46" s="15">
        <f>_xlfn.LET(
_xlpm.winA, O46^1.83 / (O46^1.83 + P46^1.83),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7">
      <c r="A47" s="14" t="n">
        <v>46110</v>
      </c>
      <c r="B47" s="15" t="inlineStr">
        <is>
          <t>NATIONALS</t>
        </is>
      </c>
      <c r="C47">
        <f>VLOOKUP(B47, 'MLB Data'!$B$5:$D$34, 3, FALSE)</f>
        <v/>
      </c>
      <c r="D47" s="16" t="inlineStr">
        <is>
          <t>IRVIN</t>
        </is>
      </c>
      <c r="E47" s="17" t="n">
        <v>4.82</v>
      </c>
      <c r="F47" s="17">
        <f>VLOOKUP(B47, 'MLB Data'!$F$2:$H$34, 3, FALSE)</f>
        <v/>
      </c>
      <c r="G47" s="17">
        <f>IF((E47*0.6+F47*0.4)&lt;2.5, 2.8, IF((E47*0.6+F47*0.4)&gt;5.5, 5.2, (E47*0.6+F47*0.4)))</f>
        <v/>
      </c>
      <c r="H47" s="15" t="inlineStr">
        <is>
          <t>CUBS</t>
        </is>
      </c>
      <c r="I47">
        <f>VLOOKUP(H47, 'MLB Data'!$B$5:$D$34, 3, FALSE)</f>
        <v/>
      </c>
      <c r="J47" s="16" t="inlineStr">
        <is>
          <t>IMANAGA</t>
        </is>
      </c>
      <c r="K47" t="n">
        <v>4.51</v>
      </c>
      <c r="L47" s="17">
        <f>VLOOKUP(H47, 'MLB Data'!$F$2:$H$34, 3, FALSE)</f>
        <v/>
      </c>
      <c r="M47" s="17">
        <f>IF((K47*0.6+L47*0.4)&lt;2.5, 2.8, IF((K47*0.6+L47*0.4)&gt;5.5, 5.2, (K47*0.6+L47*0.4)))</f>
        <v/>
      </c>
      <c r="O47" s="18">
        <f>(C47/100) * 4.45 * (M47 / 4.2) * T47</f>
        <v/>
      </c>
      <c r="P47" s="18">
        <f>(I47/100) * 4.45 * (G47 / 4.2) * T47</f>
        <v/>
      </c>
      <c r="Q47" s="18">
        <f>(O47+P47)</f>
        <v/>
      </c>
      <c r="S47" s="15">
        <f>H47</f>
        <v/>
      </c>
      <c r="T47" s="19">
        <f>IF(S47="ROCKIES",1.13,IF(S47="ATHLETICS",1.03,IF(S47="ROYALS",1.03,IF(S47="TWINS",1,IF(S47="TIGERS",1,IF(S47="MARLINS",1.01,IF(S47="REDS",1.05,IF(S47="RED SOX",1.04,IF(S47="YANKEES",1.02,IF(S47="DODGERS",0.99,IF(S47="PADRES",0.96,IF(S47="CUBS",0.98,IF(S47="GIANTS",0.97,IF(S47="MARINERS",0.94,IF(S47="RANGERS",1,IF(S47="ASTROS",0.99,IF(S47="BRAVES",1,IF(S47="METS",0.96,IF(S47="PHILLIES",1.02,IF(S47="BLUE JAYS",1.01,IF(S47="ORIOLES",0.99,IF(S47="RAYS",1.01,IF(S47="GUARDIANS",0.99,IF(S47="WHITE SOX",0.98,IF(S47="ANGELS",1.01,IF(S47="D-BACKS",1.01,IF(S47="BREWERS",0.99,IF(S47="CARDINALS",0.96,IF(S47="PIRATES",1.02,IF(S47="NATIONALS",1,1))))))))))))))))))))))))))))))*IF(W47="",1,(1+((W47-70)/10*0.035)))*IF(U47="DOME",1,IF(U47="IN",1-(V47*0.01),IF(U47="OUT",1+(V47*0.01),IF(OR(U47="L-R",U47="R-L"),1+(V47*0.005),1))))</f>
        <v/>
      </c>
      <c r="U47" s="15" t="inlineStr">
        <is>
          <t>OUT</t>
        </is>
      </c>
      <c r="V47" s="15" t="n"/>
      <c r="W47" s="15" t="n">
        <v>15</v>
      </c>
      <c r="Y47">
        <f>B47 &amp; " vs. " &amp; H47</f>
        <v/>
      </c>
      <c r="Z47">
        <f>TRIM(LEFT(Y47, FIND("vs.", Y47)-1))</f>
        <v/>
      </c>
      <c r="AA47">
        <f>TRIM(MID(Y47, FIND(" vs. ", Y47)+4, 100))</f>
        <v/>
      </c>
      <c r="AB47">
        <f>IF(Q47 &gt; VALUE(AC47), "O " &amp; AC47, IF(Q47 &lt; VALUE(AC47), "U " &amp; AC47, AC47))</f>
        <v/>
      </c>
      <c r="AC47" s="15">
        <f>IF(OR(O47="-", P47="-"), "-", MROUND(O47 + P47, 0.5))</f>
        <v/>
      </c>
      <c r="AD47" s="15">
        <f>VALUE(TRIM(RIGHT(AF47, LEN(AF47) - FIND(" ", AF47))))</f>
        <v/>
      </c>
      <c r="AE47" s="15">
        <f>LEFT(AF47,FIND(" ",AF47)-1)</f>
        <v/>
      </c>
      <c r="AF47" s="15">
        <f>IF(OR(O47="-", P47="-"), "-",
IF(MROUND(ABS(O47-P47),0.5)&lt;=0.5,
IF(O47&gt;P47, B47 &amp; " ML", H47 &amp; " ML"),
IF(MROUND(ABS(O47-P47),0.5)=1,
IF(O47&gt;P47, H47 &amp; " +1.5", B47 &amp; " +1.5"),
IF(O47&gt;P47, B47 &amp; " -1.5", H47 &amp; " -1.5")
)
)
)</f>
        <v/>
      </c>
      <c r="AG47" s="15">
        <f>_xlfn.LET(
_xlpm.winA, O47^1.83 / (O47^1.83 + P47^1.83),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8">
      <c r="A48" s="14" t="n">
        <v>46110</v>
      </c>
      <c r="B48" s="15" t="inlineStr">
        <is>
          <t>GUARDIANS</t>
        </is>
      </c>
      <c r="C48">
        <f>VLOOKUP(B48, 'MLB Data'!$B$5:$D$34, 3, FALSE)</f>
        <v/>
      </c>
      <c r="D48" s="16" t="inlineStr">
        <is>
          <t>CECCONI</t>
        </is>
      </c>
      <c r="E48" s="17" t="n">
        <v>4.09</v>
      </c>
      <c r="F48" s="17">
        <f>VLOOKUP(B48, 'MLB Data'!$F$2:$H$34, 3, FALSE)</f>
        <v/>
      </c>
      <c r="G48" s="17">
        <f>IF((E48*0.6+F48*0.4)&lt;2.5, 2.8, IF((E48*0.6+F48*0.4)&gt;5.5, 5.2, (E48*0.6+F48*0.4)))</f>
        <v/>
      </c>
      <c r="H48" s="15" t="inlineStr">
        <is>
          <t>MARINERS</t>
        </is>
      </c>
      <c r="I48">
        <f>VLOOKUP(H48, 'MLB Data'!$B$5:$D$34, 3, FALSE)</f>
        <v/>
      </c>
      <c r="J48" s="16" t="inlineStr">
        <is>
          <t>HANCOCK</t>
        </is>
      </c>
      <c r="K48" t="n">
        <v>4.69</v>
      </c>
      <c r="L48" s="17">
        <f>VLOOKUP(H48, 'MLB Data'!$F$2:$H$34, 3, FALSE)</f>
        <v/>
      </c>
      <c r="M48" s="17">
        <f>IF((K48*0.6+L48*0.4)&lt;2.5, 2.8, IF((K48*0.6+L48*0.4)&gt;5.5, 5.2, (K48*0.6+L48*0.4)))</f>
        <v/>
      </c>
      <c r="O48" s="18">
        <f>(C48/100) * 4.45 * (M48 / 4.2) * T48</f>
        <v/>
      </c>
      <c r="P48" s="18">
        <f>(I48/100) * 4.45 * (G48 / 4.2) * T48</f>
        <v/>
      </c>
      <c r="Q48" s="18">
        <f>(O48+P48)</f>
        <v/>
      </c>
      <c r="S48" s="15">
        <f>H48</f>
        <v/>
      </c>
      <c r="T48" s="19">
        <f>IF(S48="ROCKIES",1.13,IF(S48="ATHLETICS",1.03,IF(S48="ROYALS",1.03,IF(S48="TWINS",1,IF(S48="TIGERS",1,IF(S48="MARLINS",1.01,IF(S48="REDS",1.05,IF(S48="RED SOX",1.04,IF(S48="YANKEES",1.02,IF(S48="DODGERS",0.99,IF(S48="PADRES",0.96,IF(S48="CUBS",0.98,IF(S48="GIANTS",0.97,IF(S48="MARINERS",0.94,IF(S48="RANGERS",1,IF(S48="ASTROS",0.99,IF(S48="BRAVES",1,IF(S48="METS",0.96,IF(S48="PHILLIES",1.02,IF(S48="BLUE JAYS",1.01,IF(S48="ORIOLES",0.99,IF(S48="RAYS",1.01,IF(S48="GUARDIANS",0.99,IF(S48="WHITE SOX",0.98,IF(S48="ANGELS",1.01,IF(S48="D-BACKS",1.01,IF(S48="BREWERS",0.99,IF(S48="CARDINALS",0.96,IF(S48="PIRATES",1.02,IF(S48="NATIONALS",1,1))))))))))))))))))))))))))))))*IF(W48="",1,(1+((W48-70)/10*0.035)))*IF(U48="DOME",1,IF(U48="IN",1-(V48*0.01),IF(U48="OUT",1+(V48*0.01),IF(OR(U48="L-R",U48="R-L"),1+(V48*0.005),1))))</f>
        <v/>
      </c>
      <c r="U48" s="15" t="n"/>
      <c r="V48" s="15" t="n"/>
      <c r="W48" s="15" t="n"/>
      <c r="Y48">
        <f>B48 &amp; " vs. " &amp; H48</f>
        <v/>
      </c>
      <c r="Z48">
        <f>TRIM(LEFT(Y48, FIND("vs.", Y48)-1))</f>
        <v/>
      </c>
      <c r="AA48">
        <f>TRIM(MID(Y48, FIND(" vs. ", Y48)+4, 100))</f>
        <v/>
      </c>
      <c r="AB48">
        <f>IF(Q48 &gt; VALUE(AC48), "O " &amp; AC48, IF(Q48 &lt; VALUE(AC48), "U " &amp; AC48, AC48))</f>
        <v/>
      </c>
      <c r="AC48" s="15">
        <f>IF(OR(O48="-", P48="-"), "-", MROUND(O48 + P48, 0.5))</f>
        <v/>
      </c>
      <c r="AD48" s="15">
        <f>VALUE(TRIM(RIGHT(AF48, LEN(AF48) - FIND(" ", AF48))))</f>
        <v/>
      </c>
      <c r="AE48" s="15">
        <f>LEFT(AF48,FIND(" ",AF48)-1)</f>
        <v/>
      </c>
      <c r="AF48" s="15">
        <f>IF(OR(O48="-", P48="-"), "-",
IF(MROUND(ABS(O48-P48),0.5)&lt;=0.5,
IF(O48&gt;P48, B48 &amp; " ML", H48 &amp; " ML"),
IF(MROUND(ABS(O48-P48),0.5)=1,
IF(O48&gt;P48, H48 &amp; " +1.5", B48 &amp; " +1.5"),
IF(O48&gt;P48, B48 &amp; " -1.5", H48 &amp; " -1.5")
)
)
)</f>
        <v/>
      </c>
      <c r="AG48" s="15">
        <f>_xlfn.LET(
_xlpm.winA, O48^1.83 / (O48^1.83 + P48^1.83),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9">
      <c r="A49" s="14" t="n">
        <v>46111</v>
      </c>
      <c r="B49" s="15" t="inlineStr">
        <is>
          <t>TWINS</t>
        </is>
      </c>
      <c r="C49">
        <f>VLOOKUP(B49, 'MLB Data'!$B$5:$D$34, 3, FALSE)</f>
        <v/>
      </c>
      <c r="D49" s="16" t="inlineStr">
        <is>
          <t>WOODS-R</t>
        </is>
      </c>
      <c r="E49" s="17" t="n">
        <v>4.66</v>
      </c>
      <c r="F49" s="17">
        <f>VLOOKUP(B49, 'MLB Data'!$F$2:$H$34, 3, FALSE)</f>
        <v/>
      </c>
      <c r="G49" s="17">
        <f>IF((E49*0.6+F49*0.4)&lt;2.5, 2.8, IF((E49*0.6+F49*0.4)&gt;5.5, 5.2, (E49*0.6+F49*0.4)))</f>
        <v/>
      </c>
      <c r="H49" s="15" t="inlineStr">
        <is>
          <t>ROYALS</t>
        </is>
      </c>
      <c r="I49">
        <f>VLOOKUP(H49, 'MLB Data'!$B$5:$D$34, 3, FALSE)</f>
        <v/>
      </c>
      <c r="J49" s="16" t="inlineStr">
        <is>
          <t>BUBIC</t>
        </is>
      </c>
      <c r="K49" t="n">
        <v>3.63</v>
      </c>
      <c r="L49" s="17">
        <f>VLOOKUP(H49, 'MLB Data'!$F$2:$H$34, 3, FALSE)</f>
        <v/>
      </c>
      <c r="M49" s="17">
        <f>IF((K49*0.6+L49*0.4)&lt;2.5, 2.8, IF((K49*0.6+L49*0.4)&gt;5.5, 5.2, (K49*0.6+L49*0.4)))</f>
        <v/>
      </c>
      <c r="O49" s="18">
        <f>(C49/100) * 4.45 * (M49 / 4.2) * T49</f>
        <v/>
      </c>
      <c r="P49" s="18">
        <f>(I49/100) * 4.45 * (G49 / 4.2) * T49</f>
        <v/>
      </c>
      <c r="Q49" s="18">
        <f>(O49+P49)</f>
        <v/>
      </c>
      <c r="S49" s="15">
        <f>H49</f>
        <v/>
      </c>
      <c r="T49" s="19">
        <f>IF(S49="ROCKIES",1.13,IF(S49="ATHLETICS",1.03,IF(S49="ROYALS",1.03,IF(S49="TWINS",1,IF(S49="TIGERS",1,IF(S49="MARLINS",1.01,IF(S49="REDS",1.05,IF(S49="RED SOX",1.04,IF(S49="YANKEES",1.02,IF(S49="DODGERS",0.99,IF(S49="PADRES",0.96,IF(S49="CUBS",0.98,IF(S49="GIANTS",0.97,IF(S49="MARINERS",0.94,IF(S49="RANGERS",1,IF(S49="ASTROS",0.99,IF(S49="BRAVES",1,IF(S49="METS",0.96,IF(S49="PHILLIES",1.02,IF(S49="BLUE JAYS",1.01,IF(S49="ORIOLES",0.99,IF(S49="RAYS",1.01,IF(S49="GUARDIANS",0.99,IF(S49="WHITE SOX",0.98,IF(S49="ANGELS",1.01,IF(S49="D-BACKS",1.01,IF(S49="BREWERS",0.99,IF(S49="CARDINALS",0.96,IF(S49="PIRATES",1.02,IF(S49="NATIONALS",1,1))))))))))))))))))))))))))))))*IF(W49="",1,(1+((W49-70)/10*0.035)))*IF(U49="DOME",1,IF(U49="IN",1-(V49*0.01),IF(U49="OUT",1+(V49*0.01),IF(OR(U49="L-R",U49="R-L"),1+(V49*0.005),1))))</f>
        <v/>
      </c>
      <c r="U49" s="15" t="inlineStr">
        <is>
          <t>OUT</t>
        </is>
      </c>
      <c r="V49" s="15" t="n"/>
      <c r="W49" s="15" t="n">
        <v>85</v>
      </c>
      <c r="Y49">
        <f>B49 &amp; " vs. " &amp; H49</f>
        <v/>
      </c>
      <c r="Z49">
        <f>TRIM(LEFT(Y49, FIND("vs.", Y49)-1))</f>
        <v/>
      </c>
      <c r="AA49">
        <f>TRIM(MID(Y49, FIND(" vs. ", Y49)+4, 100))</f>
        <v/>
      </c>
      <c r="AB49">
        <f>IF(Q49 &gt; VALUE(AC49), "O " &amp; AC49, IF(Q49 &lt; VALUE(AC49), "U " &amp; AC49, AC49))</f>
        <v/>
      </c>
      <c r="AC49" s="15">
        <f>IF(OR(O49="-", P49="-"), "-", MROUND(O49 + P49, 0.5))</f>
        <v/>
      </c>
      <c r="AD49" s="15">
        <f>VALUE(TRIM(RIGHT(AF49, LEN(AF49) - FIND(" ", AF49))))</f>
        <v/>
      </c>
      <c r="AE49" s="15">
        <f>LEFT(AF49,FIND(" ",AF49)-1)</f>
        <v/>
      </c>
      <c r="AF49" s="15">
        <f>IF(OR(O49="-", P49="-"), "-",
IF(MROUND(ABS(O49-P49),0.5)&lt;=0.5,
IF(O49&gt;P49, B49 &amp; " ML", H49 &amp; " ML"),
IF(MROUND(ABS(O49-P49),0.5)=1,
IF(O49&gt;P49, H49 &amp; " +1.5", B49 &amp; " +1.5"),
IF(O49&gt;P49, B49 &amp; " -1.5", H49 &amp; " -1.5")
)
)
)</f>
        <v/>
      </c>
      <c r="AG49" s="15">
        <f>_xlfn.LET(
_xlpm.winA, O49^1.83 / (O49^1.83 + P49^1.83),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50">
      <c r="A50" s="14" t="n">
        <v>46111</v>
      </c>
      <c r="B50" s="15" t="inlineStr">
        <is>
          <t>RANGERS</t>
        </is>
      </c>
      <c r="C50">
        <f>VLOOKUP(B50, 'MLB Data'!$B$5:$D$34, 3, FALSE)</f>
        <v/>
      </c>
      <c r="D50" s="16" t="inlineStr">
        <is>
          <t>LEITER</t>
        </is>
      </c>
      <c r="E50" s="17" t="n">
        <v>4.53</v>
      </c>
      <c r="F50" s="17">
        <f>VLOOKUP(B50, 'MLB Data'!$F$2:$H$34, 3, FALSE)</f>
        <v/>
      </c>
      <c r="G50" s="17">
        <f>IF((E50*0.6+F50*0.4)&lt;2.5, 2.8, IF((E50*0.6+F50*0.4)&gt;5.5, 5.2, (E50*0.6+F50*0.4)))</f>
        <v/>
      </c>
      <c r="H50" s="15" t="inlineStr">
        <is>
          <t>ORIOLES</t>
        </is>
      </c>
      <c r="I50">
        <f>VLOOKUP(H50, 'MLB Data'!$B$5:$D$34, 3, FALSE)</f>
        <v/>
      </c>
      <c r="J50" s="16" t="inlineStr">
        <is>
          <t>BASSIT</t>
        </is>
      </c>
      <c r="K50" t="n">
        <v>3.86</v>
      </c>
      <c r="L50" s="17">
        <f>VLOOKUP(H50, 'MLB Data'!$F$2:$H$34, 3, FALSE)</f>
        <v/>
      </c>
      <c r="M50" s="17">
        <f>IF((K50*0.6+L50*0.4)&lt;2.5, 2.8, IF((K50*0.6+L50*0.4)&gt;5.5, 5.2, (K50*0.6+L50*0.4)))</f>
        <v/>
      </c>
      <c r="O50" s="18">
        <f>(C50/100) * 4.45 * (M50 / 4.2) * T50</f>
        <v/>
      </c>
      <c r="P50" s="18">
        <f>(I50/100) * 4.45 * (G50 / 4.2) * T50</f>
        <v/>
      </c>
      <c r="Q50" s="18">
        <f>(O50+P50)</f>
        <v/>
      </c>
      <c r="S50" s="15">
        <f>H50</f>
        <v/>
      </c>
      <c r="T50" s="19">
        <f>IF(S50="ROCKIES",1.13,IF(S50="ATHLETICS",1.03,IF(S50="ROYALS",1.03,IF(S50="TWINS",1,IF(S50="TIGERS",1,IF(S50="MARLINS",1.01,IF(S50="REDS",1.05,IF(S50="RED SOX",1.04,IF(S50="YANKEES",1.02,IF(S50="DODGERS",0.99,IF(S50="PADRES",0.96,IF(S50="CUBS",0.98,IF(S50="GIANTS",0.97,IF(S50="MARINERS",0.94,IF(S50="RANGERS",1,IF(S50="ASTROS",0.99,IF(S50="BRAVES",1,IF(S50="METS",0.96,IF(S50="PHILLIES",1.02,IF(S50="BLUE JAYS",1.01,IF(S50="ORIOLES",0.99,IF(S50="RAYS",1.01,IF(S50="GUARDIANS",0.99,IF(S50="WHITE SOX",0.98,IF(S50="ANGELS",1.01,IF(S50="D-BACKS",1.01,IF(S50="BREWERS",0.99,IF(S50="CARDINALS",0.96,IF(S50="PIRATES",1.02,IF(S50="NATIONALS",1,1))))))))))))))))))))))))))))))*IF(W50="",1,(1+((W50-70)/10*0.035)))*IF(U50="DOME",1,IF(U50="IN",1-(V50*0.01),IF(U50="OUT",1+(V50*0.01),IF(OR(U50="L-R",U50="R-L"),1+(V50*0.005),1))))</f>
        <v/>
      </c>
      <c r="U50" s="15" t="inlineStr">
        <is>
          <t>OUT</t>
        </is>
      </c>
      <c r="V50" s="15" t="n"/>
      <c r="W50" s="15" t="n">
        <v>68</v>
      </c>
      <c r="Y50">
        <f>B50 &amp; " vs. " &amp; H50</f>
        <v/>
      </c>
      <c r="Z50">
        <f>TRIM(LEFT(Y50, FIND("vs.", Y50)-1))</f>
        <v/>
      </c>
      <c r="AA50">
        <f>TRIM(MID(Y50, FIND(" vs. ", Y50)+4, 100))</f>
        <v/>
      </c>
      <c r="AB50">
        <f>IF(Q50 &gt; VALUE(AC50), "O " &amp; AC50, IF(Q50 &lt; VALUE(AC50), "U " &amp; AC50, AC50))</f>
        <v/>
      </c>
      <c r="AC50" s="15">
        <f>IF(OR(O50="-", P50="-"), "-", MROUND(O50 + P50, 0.5))</f>
        <v/>
      </c>
      <c r="AD50" s="15">
        <f>VALUE(TRIM(RIGHT(AF50, LEN(AF50) - FIND(" ", AF50))))</f>
        <v/>
      </c>
      <c r="AE50" s="15">
        <f>LEFT(AF50,FIND(" ",AF50)-1)</f>
        <v/>
      </c>
      <c r="AF50" s="15">
        <f>IF(OR(O50="-", P50="-"), "-",
IF(MROUND(ABS(O50-P50),0.5)&lt;=0.5,
IF(O50&gt;P50, B50 &amp; " ML", H50 &amp; " ML"),
IF(MROUND(ABS(O50-P50),0.5)=1,
IF(O50&gt;P50, H50 &amp; " +1.5", B50 &amp; " +1.5"),
IF(O50&gt;P50, B50 &amp; " -1.5", H50 &amp; " -1.5")
)
)
)</f>
        <v/>
      </c>
      <c r="AG50" s="15">
        <f>_xlfn.LET(
_xlpm.winA, O50^1.83 / (O50^1.83 + P50^1.83),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51">
      <c r="A51" s="14" t="n">
        <v>46111</v>
      </c>
      <c r="B51" s="15" t="inlineStr">
        <is>
          <t>PIRATES</t>
        </is>
      </c>
      <c r="C51">
        <f>VLOOKUP(B51, 'MLB Data'!$B$5:$D$34, 3, FALSE)</f>
        <v/>
      </c>
      <c r="D51" s="16" t="inlineStr">
        <is>
          <t>ASHCRAFT</t>
        </is>
      </c>
      <c r="E51" s="17" t="n">
        <v>3.18</v>
      </c>
      <c r="F51" s="17">
        <f>VLOOKUP(B51, 'MLB Data'!$F$2:$H$34, 3, FALSE)</f>
        <v/>
      </c>
      <c r="G51" s="17">
        <f>IF((E51*0.6+F51*0.4)&lt;2.5, 2.8, IF((E51*0.6+F51*0.4)&gt;5.5, 5.2, (E51*0.6+F51*0.4)))</f>
        <v/>
      </c>
      <c r="H51" s="15" t="inlineStr">
        <is>
          <t>REDS</t>
        </is>
      </c>
      <c r="I51">
        <f>VLOOKUP(H51, 'MLB Data'!$B$5:$D$34, 3, FALSE)</f>
        <v/>
      </c>
      <c r="J51" s="16" t="inlineStr">
        <is>
          <t>BURNS</t>
        </is>
      </c>
      <c r="K51" t="n">
        <v>2.34</v>
      </c>
      <c r="L51" s="17">
        <f>VLOOKUP(H51, 'MLB Data'!$F$2:$H$34, 3, FALSE)</f>
        <v/>
      </c>
      <c r="M51" s="17">
        <f>IF((K51*0.6+L51*0.4)&lt;2.5, 2.8, IF((K51*0.6+L51*0.4)&gt;5.5, 5.2, (K51*0.6+L51*0.4)))</f>
        <v/>
      </c>
      <c r="O51" s="18">
        <f>(C51/100) * 4.45 * (M51 / 4.2) * T51</f>
        <v/>
      </c>
      <c r="P51" s="18">
        <f>(I51/100) * 4.45 * (G51 / 4.2) * T51</f>
        <v/>
      </c>
      <c r="Q51" s="18">
        <f>(O51+P51)</f>
        <v/>
      </c>
      <c r="S51" s="15">
        <f>H51</f>
        <v/>
      </c>
      <c r="T51" s="19">
        <f>IF(S51="ROCKIES",1.13,IF(S51="ATHLETICS",1.03,IF(S51="ROYALS",1.03,IF(S51="TWINS",1,IF(S51="TIGERS",1,IF(S51="MARLINS",1.01,IF(S51="REDS",1.05,IF(S51="RED SOX",1.04,IF(S51="YANKEES",1.02,IF(S51="DODGERS",0.99,IF(S51="PADRES",0.96,IF(S51="CUBS",0.98,IF(S51="GIANTS",0.97,IF(S51="MARINERS",0.94,IF(S51="RANGERS",1,IF(S51="ASTROS",0.99,IF(S51="BRAVES",1,IF(S51="METS",0.96,IF(S51="PHILLIES",1.02,IF(S51="BLUE JAYS",1.01,IF(S51="ORIOLES",0.99,IF(S51="RAYS",1.01,IF(S51="GUARDIANS",0.99,IF(S51="WHITE SOX",0.98,IF(S51="ANGELS",1.01,IF(S51="D-BACKS",1.01,IF(S51="BREWERS",0.99,IF(S51="CARDINALS",0.96,IF(S51="PIRATES",1.02,IF(S51="NATIONALS",1,1))))))))))))))))))))))))))))))*IF(W51="",1,(1+((W51-70)/10*0.035)))*IF(U51="DOME",1,IF(U51="IN",1-(V51*0.01),IF(U51="OUT",1+(V51*0.01),IF(OR(U51="L-R",U51="R-L"),1+(V51*0.005),1))))</f>
        <v/>
      </c>
      <c r="U51" s="15" t="inlineStr">
        <is>
          <t>R-L</t>
        </is>
      </c>
      <c r="V51" s="15" t="n"/>
      <c r="W51" s="15" t="n">
        <v>74</v>
      </c>
      <c r="Y51">
        <f>B51 &amp; " vs. " &amp; H51</f>
        <v/>
      </c>
      <c r="Z51">
        <f>TRIM(LEFT(Y51, FIND("vs.", Y51)-1))</f>
        <v/>
      </c>
      <c r="AA51">
        <f>TRIM(MID(Y51, FIND(" vs. ", Y51)+4, 100))</f>
        <v/>
      </c>
      <c r="AB51">
        <f>IF(Q51 &gt; VALUE(AC51), "O " &amp; AC51, IF(Q51 &lt; VALUE(AC51), "U " &amp; AC51, AC51))</f>
        <v/>
      </c>
      <c r="AC51" s="15">
        <f>IF(OR(O51="-", P51="-"), "-", MROUND(O51 + P51, 0.5))</f>
        <v/>
      </c>
      <c r="AD51" s="15">
        <f>VALUE(TRIM(RIGHT(AF51, LEN(AF51) - FIND(" ", AF51))))</f>
        <v/>
      </c>
      <c r="AE51" s="15">
        <f>LEFT(AF51,FIND(" ",AF51)-1)</f>
        <v/>
      </c>
      <c r="AF51" s="15">
        <f>IF(OR(O51="-", P51="-"), "-",
IF(MROUND(ABS(O51-P51),0.5)&lt;=0.5,
IF(O51&gt;P51, B51 &amp; " ML", H51 &amp; " ML"),
IF(MROUND(ABS(O51-P51),0.5)=1,
IF(O51&gt;P51, H51 &amp; " +1.5", B51 &amp; " +1.5"),
IF(O51&gt;P51, B51 &amp; " -1.5", H51 &amp; " -1.5")
)
)
)</f>
        <v/>
      </c>
      <c r="AG51" s="15">
        <f>_xlfn.LET(
_xlpm.winA, O51^1.83 / (O51^1.83 + P51^1.83),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52">
      <c r="A52" s="14" t="n">
        <v>46111</v>
      </c>
      <c r="B52" s="15" t="inlineStr">
        <is>
          <t>NATIONALS</t>
        </is>
      </c>
      <c r="C52">
        <f>VLOOKUP(B52, 'MLB Data'!$B$5:$D$34, 3, FALSE)</f>
        <v/>
      </c>
      <c r="D52" s="16" t="inlineStr">
        <is>
          <t>GRIFFIN</t>
        </is>
      </c>
      <c r="E52" s="17" t="n">
        <v>2.35</v>
      </c>
      <c r="F52" s="17">
        <f>VLOOKUP(B52, 'MLB Data'!$F$2:$H$34, 3, FALSE)</f>
        <v/>
      </c>
      <c r="G52" s="17">
        <f>IF((E52*0.6+F52*0.4)&lt;2.5, 2.8, IF((E52*0.6+F52*0.4)&gt;5.5, 5.2, (E52*0.6+F52*0.4)))</f>
        <v/>
      </c>
      <c r="H52" s="15" t="inlineStr">
        <is>
          <t>PHILLIES</t>
        </is>
      </c>
      <c r="I52">
        <f>VLOOKUP(H52, 'MLB Data'!$B$5:$D$34, 3, FALSE)</f>
        <v/>
      </c>
      <c r="J52" s="16" t="inlineStr">
        <is>
          <t>WALKER</t>
        </is>
      </c>
      <c r="K52" t="n">
        <v>4.81</v>
      </c>
      <c r="L52" s="17">
        <f>VLOOKUP(H52, 'MLB Data'!$F$2:$H$34, 3, FALSE)</f>
        <v/>
      </c>
      <c r="M52" s="17">
        <f>IF((K52*0.6+L52*0.4)&lt;2.5, 2.8, IF((K52*0.6+L52*0.4)&gt;5.5, 5.2, (K52*0.6+L52*0.4)))</f>
        <v/>
      </c>
      <c r="O52" s="18">
        <f>(C52/100) * 4.45 * (M52 / 4.2) * T52</f>
        <v/>
      </c>
      <c r="P52" s="18">
        <f>(I52/100) * 4.45 * (G52 / 4.2) * T52</f>
        <v/>
      </c>
      <c r="Q52" s="18">
        <f>(O52+P52)</f>
        <v/>
      </c>
      <c r="S52" s="15">
        <f>H52</f>
        <v/>
      </c>
      <c r="T52" s="19">
        <f>IF(S52="ROCKIES",1.13,IF(S52="ATHLETICS",1.03,IF(S52="ROYALS",1.03,IF(S52="TWINS",1,IF(S52="TIGERS",1,IF(S52="MARLINS",1.01,IF(S52="REDS",1.05,IF(S52="RED SOX",1.04,IF(S52="YANKEES",1.02,IF(S52="DODGERS",0.99,IF(S52="PADRES",0.96,IF(S52="CUBS",0.98,IF(S52="GIANTS",0.97,IF(S52="MARINERS",0.94,IF(S52="RANGERS",1,IF(S52="ASTROS",0.99,IF(S52="BRAVES",1,IF(S52="METS",0.96,IF(S52="PHILLIES",1.02,IF(S52="BLUE JAYS",1.01,IF(S52="ORIOLES",0.99,IF(S52="RAYS",1.01,IF(S52="GUARDIANS",0.99,IF(S52="WHITE SOX",0.98,IF(S52="ANGELS",1.01,IF(S52="D-BACKS",1.01,IF(S52="BREWERS",0.99,IF(S52="CARDINALS",0.96,IF(S52="PIRATES",1.02,IF(S52="NATIONALS",1,1))))))))))))))))))))))))))))))*IF(W52="",1,(1+((W52-70)/10*0.035)))*IF(U52="DOME",1,IF(U52="IN",1-(V52*0.01),IF(U52="OUT",1+(V52*0.01),IF(OR(U52="L-R",U52="R-L"),1+(V52*0.005),1))))</f>
        <v/>
      </c>
      <c r="U52" s="15" t="inlineStr">
        <is>
          <t>OUT</t>
        </is>
      </c>
      <c r="V52" s="15" t="n"/>
      <c r="W52" s="15" t="n">
        <v>66</v>
      </c>
      <c r="Y52">
        <f>B52 &amp; " vs. " &amp; H52</f>
        <v/>
      </c>
      <c r="Z52">
        <f>TRIM(LEFT(Y52, FIND("vs.", Y52)-1))</f>
        <v/>
      </c>
      <c r="AA52">
        <f>TRIM(MID(Y52, FIND(" vs. ", Y52)+4, 100))</f>
        <v/>
      </c>
      <c r="AB52">
        <f>IF(Q52 &gt; VALUE(AC52), "O " &amp; AC52, IF(Q52 &lt; VALUE(AC52), "U " &amp; AC52, AC52))</f>
        <v/>
      </c>
      <c r="AC52" s="15">
        <f>IF(OR(O52="-", P52="-"), "-", MROUND(O52 + P52, 0.5))</f>
        <v/>
      </c>
      <c r="AD52" s="15">
        <f>VALUE(TRIM(RIGHT(AF52, LEN(AF52) - FIND(" ", AF52))))</f>
        <v/>
      </c>
      <c r="AE52" s="15">
        <f>LEFT(AF52,FIND(" ",AF52)-1)</f>
        <v/>
      </c>
      <c r="AF52" s="15">
        <f>IF(OR(O52="-", P52="-"), "-",
IF(MROUND(ABS(O52-P52),0.5)&lt;=0.5,
IF(O52&gt;P52, B52 &amp; " ML", H52 &amp; " ML"),
IF(MROUND(ABS(O52-P52),0.5)=1,
IF(O52&gt;P52, H52 &amp; " +1.5", B52 &amp; " +1.5"),
IF(O52&gt;P52, B52 &amp; " -1.5", H52 &amp; " -1.5")
)
)
)</f>
        <v/>
      </c>
      <c r="AG52" s="15">
        <f>_xlfn.LET(
_xlpm.winA, O52^1.83 / (O52^1.83 + P52^1.83),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53">
      <c r="A53" s="14" t="n">
        <v>46111</v>
      </c>
      <c r="B53" s="15" t="inlineStr">
        <is>
          <t>WHITE SOX</t>
        </is>
      </c>
      <c r="C53">
        <f>VLOOKUP(B53, 'MLB Data'!$B$5:$D$34, 3, FALSE)</f>
        <v/>
      </c>
      <c r="D53" s="16" t="inlineStr">
        <is>
          <t>MARTIN</t>
        </is>
      </c>
      <c r="E53" s="17" t="n">
        <v>4.63</v>
      </c>
      <c r="F53" s="17">
        <f>VLOOKUP(B53, 'MLB Data'!$F$2:$H$34, 3, FALSE)</f>
        <v/>
      </c>
      <c r="G53" s="17">
        <f>IF((E53*0.6+F53*0.4)&lt;2.5, 2.8, IF((E53*0.6+F53*0.4)&gt;5.5, 5.2, (E53*0.6+F53*0.4)))</f>
        <v/>
      </c>
      <c r="H53" s="15" t="inlineStr">
        <is>
          <t>MARLINS</t>
        </is>
      </c>
      <c r="I53">
        <f>VLOOKUP(H53, 'MLB Data'!$B$5:$D$34, 3, FALSE)</f>
        <v/>
      </c>
      <c r="J53" s="16" t="inlineStr">
        <is>
          <t>PADDACK</t>
        </is>
      </c>
      <c r="K53" t="n">
        <v>5.1</v>
      </c>
      <c r="L53" s="17">
        <f>VLOOKUP(H53, 'MLB Data'!$F$2:$H$34, 3, FALSE)</f>
        <v/>
      </c>
      <c r="M53" s="17">
        <f>IF((K53*0.6+L53*0.4)&lt;2.5, 2.8, IF((K53*0.6+L53*0.4)&gt;5.5, 5.2, (K53*0.6+L53*0.4)))</f>
        <v/>
      </c>
      <c r="O53" s="18">
        <f>(C53/100) * 4.45 * (M53 / 4.2) * T53</f>
        <v/>
      </c>
      <c r="P53" s="18">
        <f>(I53/100) * 4.45 * (G53 / 4.2) * T53</f>
        <v/>
      </c>
      <c r="Q53" s="18">
        <f>(O53+P53)</f>
        <v/>
      </c>
      <c r="S53" s="15">
        <f>H53</f>
        <v/>
      </c>
      <c r="T53" s="19">
        <f>IF(S53="ROCKIES",1.13,IF(S53="ATHLETICS",1.03,IF(S53="ROYALS",1.03,IF(S53="TWINS",1,IF(S53="TIGERS",1,IF(S53="MARLINS",1.01,IF(S53="REDS",1.05,IF(S53="RED SOX",1.04,IF(S53="YANKEES",1.02,IF(S53="DODGERS",0.99,IF(S53="PADRES",0.96,IF(S53="CUBS",0.98,IF(S53="GIANTS",0.97,IF(S53="MARINERS",0.94,IF(S53="RANGERS",1,IF(S53="ASTROS",0.99,IF(S53="BRAVES",1,IF(S53="METS",0.96,IF(S53="PHILLIES",1.02,IF(S53="BLUE JAYS",1.01,IF(S53="ORIOLES",0.99,IF(S53="RAYS",1.01,IF(S53="GUARDIANS",0.99,IF(S53="WHITE SOX",0.98,IF(S53="ANGELS",1.01,IF(S53="D-BACKS",1.01,IF(S53="BREWERS",0.99,IF(S53="CARDINALS",0.96,IF(S53="PIRATES",1.02,IF(S53="NATIONALS",1,1))))))))))))))))))))))))))))))*IF(W53="",1,(1+((W53-70)/10*0.035)))*IF(U53="DOME",1,IF(U53="IN",1-(V53*0.01),IF(U53="OUT",1+(V53*0.01),IF(OR(U53="L-R",U53="R-L"),1+(V53*0.005),1))))</f>
        <v/>
      </c>
      <c r="U53" s="15" t="inlineStr">
        <is>
          <t>DOME</t>
        </is>
      </c>
      <c r="V53" s="15" t="n"/>
      <c r="W53" s="15" t="n"/>
      <c r="Y53">
        <f>B53 &amp; " vs. " &amp; H53</f>
        <v/>
      </c>
      <c r="Z53">
        <f>TRIM(LEFT(Y53, FIND("vs.", Y53)-1))</f>
        <v/>
      </c>
      <c r="AA53">
        <f>TRIM(MID(Y53, FIND(" vs. ", Y53)+4, 100))</f>
        <v/>
      </c>
      <c r="AB53">
        <f>IF(Q53 &gt; VALUE(AC53), "O " &amp; AC53, IF(Q53 &lt; VALUE(AC53), "U " &amp; AC53, AC53))</f>
        <v/>
      </c>
      <c r="AC53" s="15">
        <f>IF(OR(O53="-", P53="-"), "-", MROUND(O53 + P53, 0.5))</f>
        <v/>
      </c>
      <c r="AD53" s="15">
        <f>VALUE(TRIM(RIGHT(AF53, LEN(AF53) - FIND(" ", AF53))))</f>
        <v/>
      </c>
      <c r="AE53" s="15">
        <f>LEFT(AF53,FIND(" ",AF53)-1)</f>
        <v/>
      </c>
      <c r="AF53" s="15">
        <f>IF(OR(O53="-", P53="-"), "-",
IF(MROUND(ABS(O53-P53),0.5)&lt;=0.5,
IF(O53&gt;P53, B53 &amp; " ML", H53 &amp; " ML"),
IF(MROUND(ABS(O53-P53),0.5)=1,
IF(O53&gt;P53, H53 &amp; " +1.5", B53 &amp; " +1.5"),
IF(O53&gt;P53, B53 &amp; " -1.5", H53 &amp; " -1.5")
)
)
)</f>
        <v/>
      </c>
      <c r="AG53" s="15">
        <f>_xlfn.LET(
_xlpm.winA, O53^1.83 / (O53^1.83 + P53^1.83),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54">
      <c r="A54" s="14" t="n">
        <v>46111</v>
      </c>
      <c r="B54" s="15" t="inlineStr">
        <is>
          <t>ROCKIES</t>
        </is>
      </c>
      <c r="C54">
        <f>VLOOKUP(B54, 'MLB Data'!$B$5:$D$34, 3, FALSE)</f>
        <v/>
      </c>
      <c r="D54" s="16" t="inlineStr">
        <is>
          <t>SUGANO</t>
        </is>
      </c>
      <c r="E54" s="17" t="n">
        <v>4.7</v>
      </c>
      <c r="F54" s="17">
        <f>VLOOKUP(B54, 'MLB Data'!$F$2:$H$34, 3, FALSE)</f>
        <v/>
      </c>
      <c r="G54" s="17">
        <f>IF((E54*0.6+F54*0.4)&lt;2.5, 2.8, IF((E54*0.6+F54*0.4)&gt;5.5, 5.2, (E54*0.6+F54*0.4)))</f>
        <v/>
      </c>
      <c r="H54" s="15" t="inlineStr">
        <is>
          <t>BLUE JAYS</t>
        </is>
      </c>
      <c r="I54">
        <f>VLOOKUP(H54, 'MLB Data'!$B$5:$D$34, 3, FALSE)</f>
        <v/>
      </c>
      <c r="J54" s="16" t="inlineStr">
        <is>
          <t>PONCE</t>
        </is>
      </c>
      <c r="K54" t="n">
        <v>2.3</v>
      </c>
      <c r="L54" s="17">
        <f>VLOOKUP(H54, 'MLB Data'!$F$2:$H$34, 3, FALSE)</f>
        <v/>
      </c>
      <c r="M54" s="17">
        <f>IF((K54*0.6+L54*0.4)&lt;2.5, 2.8, IF((K54*0.6+L54*0.4)&gt;5.5, 5.2, (K54*0.6+L54*0.4)))</f>
        <v/>
      </c>
      <c r="O54" s="18">
        <f>(C54/100) * 4.45 * (M54 / 4.2) * T54</f>
        <v/>
      </c>
      <c r="P54" s="18">
        <f>(I54/100) * 4.45 * (G54 / 4.2) * T54</f>
        <v/>
      </c>
      <c r="Q54" s="18">
        <f>(O54+P54)</f>
        <v/>
      </c>
      <c r="S54" s="15">
        <f>H54</f>
        <v/>
      </c>
      <c r="T54" s="19">
        <f>IF(S54="ROCKIES",1.13,IF(S54="ATHLETICS",1.03,IF(S54="ROYALS",1.03,IF(S54="TWINS",1,IF(S54="TIGERS",1,IF(S54="MARLINS",1.01,IF(S54="REDS",1.05,IF(S54="RED SOX",1.04,IF(S54="YANKEES",1.02,IF(S54="DODGERS",0.99,IF(S54="PADRES",0.96,IF(S54="CUBS",0.98,IF(S54="GIANTS",0.97,IF(S54="MARINERS",0.94,IF(S54="RANGERS",1,IF(S54="ASTROS",0.99,IF(S54="BRAVES",1,IF(S54="METS",0.96,IF(S54="PHILLIES",1.02,IF(S54="BLUE JAYS",1.01,IF(S54="ORIOLES",0.99,IF(S54="RAYS",1.01,IF(S54="GUARDIANS",0.99,IF(S54="WHITE SOX",0.98,IF(S54="ANGELS",1.01,IF(S54="D-BACKS",1.01,IF(S54="BREWERS",0.99,IF(S54="CARDINALS",0.96,IF(S54="PIRATES",1.02,IF(S54="NATIONALS",1,1))))))))))))))))))))))))))))))*IF(W54="",1,(1+((W54-70)/10*0.035)))*IF(U54="DOME",1,IF(U54="IN",1-(V54*0.01),IF(U54="OUT",1+(V54*0.01),IF(OR(U54="L-R",U54="R-L"),1+(V54*0.005),1))))</f>
        <v/>
      </c>
      <c r="U54" s="15" t="inlineStr">
        <is>
          <t>DOME</t>
        </is>
      </c>
      <c r="V54" s="15" t="n"/>
      <c r="W54" s="15" t="n"/>
      <c r="Y54">
        <f>B54 &amp; " vs. " &amp; H54</f>
        <v/>
      </c>
      <c r="Z54">
        <f>TRIM(LEFT(Y54, FIND("vs.", Y54)-1))</f>
        <v/>
      </c>
      <c r="AA54">
        <f>TRIM(MID(Y54, FIND(" vs. ", Y54)+4, 100))</f>
        <v/>
      </c>
      <c r="AB54">
        <f>IF(Q54 &gt; VALUE(AC54), "O " &amp; AC54, IF(Q54 &lt; VALUE(AC54), "U " &amp; AC54, AC54))</f>
        <v/>
      </c>
      <c r="AC54" s="15">
        <f>IF(OR(O54="-", P54="-"), "-", MROUND(O54 + P54, 0.5))</f>
        <v/>
      </c>
      <c r="AD54" s="15">
        <f>VALUE(TRIM(RIGHT(AF54, LEN(AF54) - FIND(" ", AF54))))</f>
        <v/>
      </c>
      <c r="AE54" s="15">
        <f>LEFT(AF54,FIND(" ",AF54)-1)</f>
        <v/>
      </c>
      <c r="AF54" s="15">
        <f>IF(OR(O54="-", P54="-"), "-",
IF(MROUND(ABS(O54-P54),0.5)&lt;=0.5,
IF(O54&gt;P54, B54 &amp; " ML", H54 &amp; " ML"),
IF(MROUND(ABS(O54-P54),0.5)=1,
IF(O54&gt;P54, H54 &amp; " +1.5", B54 &amp; " +1.5"),
IF(O54&gt;P54, B54 &amp; " -1.5", H54 &amp; " -1.5")
)
)
)</f>
        <v/>
      </c>
      <c r="AG54" s="15">
        <f>_xlfn.LET(
_xlpm.winA, O54^1.83 / (O54^1.83 + P54^1.83),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55">
      <c r="A55" s="14" t="n">
        <v>46111</v>
      </c>
      <c r="B55" s="15" t="inlineStr">
        <is>
          <t>ATHLETICS</t>
        </is>
      </c>
      <c r="C55">
        <f>VLOOKUP(B55, 'MLB Data'!$B$5:$D$34, 3, FALSE)</f>
        <v/>
      </c>
      <c r="D55" s="16" t="inlineStr">
        <is>
          <t>J. LOPEZ</t>
        </is>
      </c>
      <c r="E55" s="17" t="n">
        <v>4.12</v>
      </c>
      <c r="F55" s="17">
        <f>VLOOKUP(B55, 'MLB Data'!$F$2:$H$34, 3, FALSE)</f>
        <v/>
      </c>
      <c r="G55" s="17">
        <f>IF((E55*0.6+F55*0.4)&lt;2.5, 2.8, IF((E55*0.6+F55*0.4)&gt;5.5, 5.2, (E55*0.6+F55*0.4)))</f>
        <v/>
      </c>
      <c r="H55" s="15" t="inlineStr">
        <is>
          <t>BRAVES</t>
        </is>
      </c>
      <c r="I55">
        <f>VLOOKUP(H55, 'MLB Data'!$B$5:$D$34, 3, FALSE)</f>
        <v/>
      </c>
      <c r="J55" s="16" t="inlineStr">
        <is>
          <t>ELDER</t>
        </is>
      </c>
      <c r="K55" t="n">
        <v>4.04</v>
      </c>
      <c r="L55" s="17">
        <f>VLOOKUP(H55, 'MLB Data'!$F$2:$H$34, 3, FALSE)</f>
        <v/>
      </c>
      <c r="M55" s="17">
        <f>IF((K55*0.6+L55*0.4)&lt;2.5, 2.8, IF((K55*0.6+L55*0.4)&gt;5.5, 5.2, (K55*0.6+L55*0.4)))</f>
        <v/>
      </c>
      <c r="O55" s="18">
        <f>(C55/100) * 4.45 * (M55 / 4.2) * T55</f>
        <v/>
      </c>
      <c r="P55" s="18">
        <f>(I55/100) * 4.45 * (G55 / 4.2) * T55</f>
        <v/>
      </c>
      <c r="Q55" s="18">
        <f>(O55+P55)</f>
        <v/>
      </c>
      <c r="S55" s="15">
        <f>H55</f>
        <v/>
      </c>
      <c r="T55" s="19">
        <f>IF(S55="ROCKIES",1.13,IF(S55="ATHLETICS",1.03,IF(S55="ROYALS",1.03,IF(S55="TWINS",1,IF(S55="TIGERS",1,IF(S55="MARLINS",1.01,IF(S55="REDS",1.05,IF(S55="RED SOX",1.04,IF(S55="YANKEES",1.02,IF(S55="DODGERS",0.99,IF(S55="PADRES",0.96,IF(S55="CUBS",0.98,IF(S55="GIANTS",0.97,IF(S55="MARINERS",0.94,IF(S55="RANGERS",1,IF(S55="ASTROS",0.99,IF(S55="BRAVES",1,IF(S55="METS",0.96,IF(S55="PHILLIES",1.02,IF(S55="BLUE JAYS",1.01,IF(S55="ORIOLES",0.99,IF(S55="RAYS",1.01,IF(S55="GUARDIANS",0.99,IF(S55="WHITE SOX",0.98,IF(S55="ANGELS",1.01,IF(S55="D-BACKS",1.01,IF(S55="BREWERS",0.99,IF(S55="CARDINALS",0.96,IF(S55="PIRATES",1.02,IF(S55="NATIONALS",1,1))))))))))))))))))))))))))))))*IF(W55="",1,(1+((W55-70)/10*0.035)))*IF(U55="DOME",1,IF(U55="IN",1-(V55*0.01),IF(U55="OUT",1+(V55*0.01),IF(OR(U55="L-R",U55="R-L"),1+(V55*0.005),1))))</f>
        <v/>
      </c>
      <c r="U55" s="15" t="inlineStr">
        <is>
          <t>R-L</t>
        </is>
      </c>
      <c r="V55" s="15" t="n"/>
      <c r="W55" s="15" t="n">
        <v>72</v>
      </c>
      <c r="Y55">
        <f>B55 &amp; " vs. " &amp; H55</f>
        <v/>
      </c>
      <c r="Z55">
        <f>TRIM(LEFT(Y55, FIND("vs.", Y55)-1))</f>
        <v/>
      </c>
      <c r="AA55">
        <f>TRIM(MID(Y55, FIND(" vs. ", Y55)+4, 100))</f>
        <v/>
      </c>
      <c r="AB55">
        <f>IF(Q55 &gt; VALUE(AC55), "O " &amp; AC55, IF(Q55 &lt; VALUE(AC55), "U " &amp; AC55, AC55))</f>
        <v/>
      </c>
      <c r="AC55" s="15">
        <f>IF(OR(O55="-", P55="-"), "-", MROUND(O55 + P55, 0.5))</f>
        <v/>
      </c>
      <c r="AD55" s="15">
        <f>VALUE(TRIM(RIGHT(AF55, LEN(AF55) - FIND(" ", AF55))))</f>
        <v/>
      </c>
      <c r="AE55" s="15">
        <f>LEFT(AF55,FIND(" ",AF55)-1)</f>
        <v/>
      </c>
      <c r="AF55" s="15">
        <f>IF(OR(O55="-", P55="-"), "-",
IF(MROUND(ABS(O55-P55),0.5)&lt;=0.5,
IF(O55&gt;P55, B55 &amp; " ML", H55 &amp; " ML"),
IF(MROUND(ABS(O55-P55),0.5)=1,
IF(O55&gt;P55, H55 &amp; " +1.5", B55 &amp; " +1.5"),
IF(O55&gt;P55, B55 &amp; " -1.5", H55 &amp; " -1.5")
)
)
)</f>
        <v/>
      </c>
      <c r="AG55" s="15">
        <f>_xlfn.LET(
_xlpm.winA, O55^1.83 / (O55^1.83 + P55^1.83),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56">
      <c r="A56" s="14" t="n">
        <v>46111</v>
      </c>
      <c r="B56" s="15" t="inlineStr">
        <is>
          <t>ANGELS</t>
        </is>
      </c>
      <c r="C56">
        <f>VLOOKUP(B56, 'MLB Data'!$B$5:$D$34, 3, FALSE)</f>
        <v/>
      </c>
      <c r="D56" s="16" t="inlineStr">
        <is>
          <t>JOHNSON</t>
        </is>
      </c>
      <c r="E56" s="17" t="n">
        <v>3.97</v>
      </c>
      <c r="F56" s="17">
        <f>VLOOKUP(B56, 'MLB Data'!$F$2:$H$34, 3, FALSE)</f>
        <v/>
      </c>
      <c r="G56" s="17">
        <f>IF((E56*0.6+F56*0.4)&lt;2.5, 2.8, IF((E56*0.6+F56*0.4)&gt;5.5, 5.2, (E56*0.6+F56*0.4)))</f>
        <v/>
      </c>
      <c r="H56" s="15" t="inlineStr">
        <is>
          <t>CUBS</t>
        </is>
      </c>
      <c r="I56">
        <f>VLOOKUP(H56, 'MLB Data'!$B$5:$D$34, 3, FALSE)</f>
        <v/>
      </c>
      <c r="J56" s="16" t="inlineStr">
        <is>
          <t>E. CABRERA</t>
        </is>
      </c>
      <c r="K56" t="n">
        <v>3.62</v>
      </c>
      <c r="L56" s="17">
        <f>VLOOKUP(H56, 'MLB Data'!$F$2:$H$34, 3, FALSE)</f>
        <v/>
      </c>
      <c r="M56" s="17">
        <f>IF((K56*0.6+L56*0.4)&lt;2.5, 2.8, IF((K56*0.6+L56*0.4)&gt;5.5, 5.2, (K56*0.6+L56*0.4)))</f>
        <v/>
      </c>
      <c r="O56" s="18">
        <f>(C56/100) * 4.45 * (M56 / 4.2) * T56</f>
        <v/>
      </c>
      <c r="P56" s="18">
        <f>(I56/100) * 4.45 * (G56 / 4.2) * T56</f>
        <v/>
      </c>
      <c r="Q56" s="18">
        <f>(O56+P56)</f>
        <v/>
      </c>
      <c r="S56" s="15">
        <f>H56</f>
        <v/>
      </c>
      <c r="T56" s="19">
        <f>IF(S56="ROCKIES",1.13,IF(S56="ATHLETICS",1.03,IF(S56="ROYALS",1.03,IF(S56="TWINS",1,IF(S56="TIGERS",1,IF(S56="MARLINS",1.01,IF(S56="REDS",1.05,IF(S56="RED SOX",1.04,IF(S56="YANKEES",1.02,IF(S56="DODGERS",0.99,IF(S56="PADRES",0.96,IF(S56="CUBS",0.98,IF(S56="GIANTS",0.97,IF(S56="MARINERS",0.94,IF(S56="RANGERS",1,IF(S56="ASTROS",0.99,IF(S56="BRAVES",1,IF(S56="METS",0.96,IF(S56="PHILLIES",1.02,IF(S56="BLUE JAYS",1.01,IF(S56="ORIOLES",0.99,IF(S56="RAYS",1.01,IF(S56="GUARDIANS",0.99,IF(S56="WHITE SOX",0.98,IF(S56="ANGELS",1.01,IF(S56="D-BACKS",1.01,IF(S56="BREWERS",0.99,IF(S56="CARDINALS",0.96,IF(S56="PIRATES",1.02,IF(S56="NATIONALS",1,1))))))))))))))))))))))))))))))*IF(W56="",1,(1+((W56-70)/10*0.035)))*IF(U56="DOME",1,IF(U56="IN",1-(V56*0.01),IF(U56="OUT",1+(V56*0.01),IF(OR(U56="L-R",U56="R-L"),1+(V56*0.005),1))))</f>
        <v/>
      </c>
      <c r="U56" s="15" t="inlineStr">
        <is>
          <t>OUT</t>
        </is>
      </c>
      <c r="V56" s="15" t="n"/>
      <c r="W56" s="15" t="n">
        <v>68</v>
      </c>
      <c r="Y56">
        <f>B56 &amp; " vs. " &amp; H56</f>
        <v/>
      </c>
      <c r="Z56">
        <f>TRIM(LEFT(Y56, FIND("vs.", Y56)-1))</f>
        <v/>
      </c>
      <c r="AA56">
        <f>TRIM(MID(Y56, FIND(" vs. ", Y56)+4, 100))</f>
        <v/>
      </c>
      <c r="AB56">
        <f>IF(Q56 &gt; VALUE(AC56), "O " &amp; AC56, IF(Q56 &lt; VALUE(AC56), "U " &amp; AC56, AC56))</f>
        <v/>
      </c>
      <c r="AC56" s="15">
        <f>IF(OR(O56="-", P56="-"), "-", MROUND(O56 + P56, 0.5))</f>
        <v/>
      </c>
      <c r="AD56" s="15">
        <f>VALUE(TRIM(RIGHT(AF56, LEN(AF56) - FIND(" ", AF56))))</f>
        <v/>
      </c>
      <c r="AE56" s="15">
        <f>LEFT(AF56,FIND(" ",AF56)-1)</f>
        <v/>
      </c>
      <c r="AF56" s="15">
        <f>IF(OR(O56="-", P56="-"), "-",
IF(MROUND(ABS(O56-P56),0.5)&lt;=0.5,
IF(O56&gt;P56, B56 &amp; " ML", H56 &amp; " ML"),
IF(MROUND(ABS(O56-P56),0.5)=1,
IF(O56&gt;P56, H56 &amp; " +1.5", B56 &amp; " +1.5"),
IF(O56&gt;P56, B56 &amp; " -1.5", H56 &amp; " -1.5")
)
)
)</f>
        <v/>
      </c>
      <c r="AG56" s="15">
        <f>_xlfn.LET(
_xlpm.winA, O56^1.83 / (O56^1.83 + P56^1.83),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57">
      <c r="A57" s="14" t="n">
        <v>46111</v>
      </c>
      <c r="B57" s="15" t="inlineStr">
        <is>
          <t>RAYS</t>
        </is>
      </c>
      <c r="C57">
        <f>VLOOKUP(B57, 'MLB Data'!$B$5:$D$34, 3, FALSE)</f>
        <v/>
      </c>
      <c r="D57" s="16" t="inlineStr">
        <is>
          <t>N. MARTINEZ</t>
        </is>
      </c>
      <c r="E57" s="17" t="n">
        <v>4.46</v>
      </c>
      <c r="F57" s="17">
        <f>VLOOKUP(B57, 'MLB Data'!$F$2:$H$34, 3, FALSE)</f>
        <v/>
      </c>
      <c r="G57" s="17">
        <f>IF((E57*0.6+F57*0.4)&lt;2.5, 2.8, IF((E57*0.6+F57*0.4)&gt;5.5, 5.2, (E57*0.6+F57*0.4)))</f>
        <v/>
      </c>
      <c r="H57" s="15" t="inlineStr">
        <is>
          <t>BREWERS</t>
        </is>
      </c>
      <c r="I57">
        <f>VLOOKUP(H57, 'MLB Data'!$B$5:$D$34, 3, FALSE)</f>
        <v/>
      </c>
      <c r="J57" s="16" t="inlineStr">
        <is>
          <t>HARRISON</t>
        </is>
      </c>
      <c r="K57" t="n">
        <v>3.56</v>
      </c>
      <c r="L57" s="17">
        <f>VLOOKUP(H57, 'MLB Data'!$F$2:$H$34, 3, FALSE)</f>
        <v/>
      </c>
      <c r="M57" s="17">
        <f>IF((K57*0.6+L57*0.4)&lt;2.5, 2.8, IF((K57*0.6+L57*0.4)&gt;5.5, 5.2, (K57*0.6+L57*0.4)))</f>
        <v/>
      </c>
      <c r="O57" s="18">
        <f>(C57/100) * 4.45 * (M57 / 4.2) * T57</f>
        <v/>
      </c>
      <c r="P57" s="18">
        <f>(I57/100) * 4.45 * (G57 / 4.2) * T57</f>
        <v/>
      </c>
      <c r="Q57" s="18">
        <f>(O57+P57)</f>
        <v/>
      </c>
      <c r="S57" s="15">
        <f>H57</f>
        <v/>
      </c>
      <c r="T57" s="19">
        <f>IF(S57="ROCKIES",1.13,IF(S57="ATHLETICS",1.03,IF(S57="ROYALS",1.03,IF(S57="TWINS",1,IF(S57="TIGERS",1,IF(S57="MARLINS",1.01,IF(S57="REDS",1.05,IF(S57="RED SOX",1.04,IF(S57="YANKEES",1.02,IF(S57="DODGERS",0.99,IF(S57="PADRES",0.96,IF(S57="CUBS",0.98,IF(S57="GIANTS",0.97,IF(S57="MARINERS",0.94,IF(S57="RANGERS",1,IF(S57="ASTROS",0.99,IF(S57="BRAVES",1,IF(S57="METS",0.96,IF(S57="PHILLIES",1.02,IF(S57="BLUE JAYS",1.01,IF(S57="ORIOLES",0.99,IF(S57="RAYS",1.01,IF(S57="GUARDIANS",0.99,IF(S57="WHITE SOX",0.98,IF(S57="ANGELS",1.01,IF(S57="D-BACKS",1.01,IF(S57="BREWERS",0.99,IF(S57="CARDINALS",0.96,IF(S57="PIRATES",1.02,IF(S57="NATIONALS",1,1))))))))))))))))))))))))))))))*IF(W57="",1,(1+((W57-70)/10*0.035)))*IF(U57="DOME",1,IF(U57="IN",1-(V57*0.01),IF(U57="OUT",1+(V57*0.01),IF(OR(U57="L-R",U57="R-L"),1+(V57*0.005),1))))</f>
        <v/>
      </c>
      <c r="U57" s="15" t="inlineStr">
        <is>
          <t>DOME</t>
        </is>
      </c>
      <c r="V57" s="15" t="n"/>
      <c r="W57" s="15" t="n"/>
      <c r="Y57">
        <f>B57 &amp; " vs. " &amp; H57</f>
        <v/>
      </c>
      <c r="Z57">
        <f>TRIM(LEFT(Y57, FIND("vs.", Y57)-1))</f>
        <v/>
      </c>
      <c r="AA57">
        <f>TRIM(MID(Y57, FIND(" vs. ", Y57)+4, 100))</f>
        <v/>
      </c>
      <c r="AB57">
        <f>IF(Q57 &gt; VALUE(AC57), "O " &amp; AC57, IF(Q57 &lt; VALUE(AC57), "U " &amp; AC57, AC57))</f>
        <v/>
      </c>
      <c r="AC57" s="15">
        <f>IF(OR(O57="-", P57="-"), "-", MROUND(O57 + P57, 0.5))</f>
        <v/>
      </c>
      <c r="AD57" s="15">
        <f>VALUE(TRIM(RIGHT(AF57, LEN(AF57) - FIND(" ", AF57))))</f>
        <v/>
      </c>
      <c r="AE57" s="15">
        <f>LEFT(AF57,FIND(" ",AF57)-1)</f>
        <v/>
      </c>
      <c r="AF57" s="15">
        <f>IF(OR(O57="-", P57="-"), "-",
IF(MROUND(ABS(O57-P57),0.5)&lt;=0.5,
IF(O57&gt;P57, B57 &amp; " ML", H57 &amp; " ML"),
IF(MROUND(ABS(O57-P57),0.5)=1,
IF(O57&gt;P57, H57 &amp; " +1.5", B57 &amp; " +1.5"),
IF(O57&gt;P57, B57 &amp; " -1.5", H57 &amp; " -1.5")
)
)
)</f>
        <v/>
      </c>
      <c r="AG57" s="15">
        <f>_xlfn.LET(
_xlpm.winA, O57^1.83 / (O57^1.83 + P57^1.83),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58">
      <c r="A58" s="14" t="n">
        <v>46111</v>
      </c>
      <c r="B58" s="15" t="inlineStr">
        <is>
          <t>METS</t>
        </is>
      </c>
      <c r="C58">
        <f>VLOOKUP(B58, 'MLB Data'!$B$5:$D$34, 3, FALSE)</f>
        <v/>
      </c>
      <c r="D58" s="16" t="inlineStr">
        <is>
          <t>C. HOLMES</t>
        </is>
      </c>
      <c r="E58" s="17" t="n">
        <v>4.28</v>
      </c>
      <c r="F58" s="17">
        <f>VLOOKUP(B58, 'MLB Data'!$F$2:$H$34, 3, FALSE)</f>
        <v/>
      </c>
      <c r="G58" s="17">
        <f>IF((E58*0.6+F58*0.4)&lt;2.5, 2.8, IF((E58*0.6+F58*0.4)&gt;5.5, 5.2, (E58*0.6+F58*0.4)))</f>
        <v/>
      </c>
      <c r="H58" s="15" t="inlineStr">
        <is>
          <t>CARDINALS</t>
        </is>
      </c>
      <c r="I58">
        <f>VLOOKUP(H58, 'MLB Data'!$B$5:$D$34, 3, FALSE)</f>
        <v/>
      </c>
      <c r="J58" s="16" t="inlineStr">
        <is>
          <t>LEAHY</t>
        </is>
      </c>
      <c r="K58" t="n">
        <v>3.5</v>
      </c>
      <c r="L58" s="17">
        <f>VLOOKUP(H58, 'MLB Data'!$F$2:$H$34, 3, FALSE)</f>
        <v/>
      </c>
      <c r="M58" s="17">
        <f>IF((K58*0.6+L58*0.4)&lt;2.5, 2.8, IF((K58*0.6+L58*0.4)&gt;5.5, 5.2, (K58*0.6+L58*0.4)))</f>
        <v/>
      </c>
      <c r="O58" s="18">
        <f>(C58/100) * 4.45 * (M58 / 4.2) * T58</f>
        <v/>
      </c>
      <c r="P58" s="18">
        <f>(I58/100) * 4.45 * (G58 / 4.2) * T58</f>
        <v/>
      </c>
      <c r="Q58" s="18">
        <f>(O58+P58)</f>
        <v/>
      </c>
      <c r="S58" s="15">
        <f>H58</f>
        <v/>
      </c>
      <c r="T58" s="19">
        <f>IF(S58="ROCKIES",1.13,IF(S58="ATHLETICS",1.03,IF(S58="ROYALS",1.03,IF(S58="TWINS",1,IF(S58="TIGERS",1,IF(S58="MARLINS",1.01,IF(S58="REDS",1.05,IF(S58="RED SOX",1.04,IF(S58="YANKEES",1.02,IF(S58="DODGERS",0.99,IF(S58="PADRES",0.96,IF(S58="CUBS",0.98,IF(S58="GIANTS",0.97,IF(S58="MARINERS",0.94,IF(S58="RANGERS",1,IF(S58="ASTROS",0.99,IF(S58="BRAVES",1,IF(S58="METS",0.96,IF(S58="PHILLIES",1.02,IF(S58="BLUE JAYS",1.01,IF(S58="ORIOLES",0.99,IF(S58="RAYS",1.01,IF(S58="GUARDIANS",0.99,IF(S58="WHITE SOX",0.98,IF(S58="ANGELS",1.01,IF(S58="D-BACKS",1.01,IF(S58="BREWERS",0.99,IF(S58="CARDINALS",0.96,IF(S58="PIRATES",1.02,IF(S58="NATIONALS",1,1))))))))))))))))))))))))))))))*IF(W58="",1,(1+((W58-70)/10*0.035)))*IF(U58="DOME",1,IF(U58="IN",1-(V58*0.01),IF(U58="OUT",1+(V58*0.01),IF(OR(U58="L-R",U58="R-L"),1+(V58*0.005),1))))</f>
        <v/>
      </c>
      <c r="U58" s="15" t="inlineStr">
        <is>
          <t>OUT</t>
        </is>
      </c>
      <c r="V58" s="15" t="n"/>
      <c r="W58" s="15" t="n">
        <v>81</v>
      </c>
      <c r="Y58">
        <f>B58 &amp; " vs. " &amp; H58</f>
        <v/>
      </c>
      <c r="Z58">
        <f>TRIM(LEFT(Y58, FIND("vs.", Y58)-1))</f>
        <v/>
      </c>
      <c r="AA58">
        <f>TRIM(MID(Y58, FIND(" vs. ", Y58)+4, 100))</f>
        <v/>
      </c>
      <c r="AB58">
        <f>IF(Q58 &gt; VALUE(AC58), "O " &amp; AC58, IF(Q58 &lt; VALUE(AC58), "U " &amp; AC58, AC58))</f>
        <v/>
      </c>
      <c r="AC58" s="15">
        <f>IF(OR(O58="-", P58="-"), "-", MROUND(O58 + P58, 0.5))</f>
        <v/>
      </c>
      <c r="AD58" s="15">
        <f>VALUE(TRIM(RIGHT(AF58, LEN(AF58) - FIND(" ", AF58))))</f>
        <v/>
      </c>
      <c r="AE58" s="15">
        <f>LEFT(AF58,FIND(" ",AF58)-1)</f>
        <v/>
      </c>
      <c r="AF58" s="15">
        <f>IF(OR(O58="-", P58="-"), "-",
IF(MROUND(ABS(O58-P58),0.5)&lt;=0.5,
IF(O58&gt;P58, B58 &amp; " ML", H58 &amp; " ML"),
IF(MROUND(ABS(O58-P58),0.5)=1,
IF(O58&gt;P58, H58 &amp; " +1.5", B58 &amp; " +1.5"),
IF(O58&gt;P58, B58 &amp; " -1.5", H58 &amp; " -1.5")
)
)
)</f>
        <v/>
      </c>
      <c r="AG58" s="15">
        <f>_xlfn.LET(
_xlpm.winA, O58^1.83 / (O58^1.83 + P58^1.83),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59">
      <c r="A59" s="14" t="n">
        <v>46111</v>
      </c>
      <c r="B59" s="15" t="inlineStr">
        <is>
          <t>RED SOX</t>
        </is>
      </c>
      <c r="C59">
        <f>VLOOKUP(B59, 'MLB Data'!$B$5:$D$34, 3, FALSE)</f>
        <v/>
      </c>
      <c r="D59" s="16" t="inlineStr">
        <is>
          <t>SUAREZ</t>
        </is>
      </c>
      <c r="E59" s="17" t="n">
        <v>3.61</v>
      </c>
      <c r="F59" s="17">
        <f>VLOOKUP(B59, 'MLB Data'!$F$2:$H$34, 3, FALSE)</f>
        <v/>
      </c>
      <c r="G59" s="17">
        <f>IF((E59*0.6+F59*0.4)&lt;2.5, 2.8, IF((E59*0.6+F59*0.4)&gt;5.5, 5.2, (E59*0.6+F59*0.4)))</f>
        <v/>
      </c>
      <c r="H59" s="15" t="inlineStr">
        <is>
          <t>ASTROS</t>
        </is>
      </c>
      <c r="I59">
        <f>VLOOKUP(H59, 'MLB Data'!$B$5:$D$34, 3, FALSE)</f>
        <v/>
      </c>
      <c r="J59" s="16" t="inlineStr">
        <is>
          <t>MCCULLERS</t>
        </is>
      </c>
      <c r="K59" t="n">
        <v>4.92</v>
      </c>
      <c r="L59" s="17">
        <f>VLOOKUP(H59, 'MLB Data'!$F$2:$H$34, 3, FALSE)</f>
        <v/>
      </c>
      <c r="M59" s="17">
        <f>IF((K59*0.6+L59*0.4)&lt;2.5, 2.8, IF((K59*0.6+L59*0.4)&gt;5.5, 5.2, (K59*0.6+L59*0.4)))</f>
        <v/>
      </c>
      <c r="O59" s="18">
        <f>(C59/100) * 4.45 * (M59 / 4.2) * T59</f>
        <v/>
      </c>
      <c r="P59" s="18">
        <f>(I59/100) * 4.45 * (G59 / 4.2) * T59</f>
        <v/>
      </c>
      <c r="Q59" s="18">
        <f>(O59+P59)</f>
        <v/>
      </c>
      <c r="S59" s="15">
        <f>H59</f>
        <v/>
      </c>
      <c r="T59" s="19">
        <f>IF(S59="ROCKIES",1.13,IF(S59="ATHLETICS",1.03,IF(S59="ROYALS",1.03,IF(S59="TWINS",1,IF(S59="TIGERS",1,IF(S59="MARLINS",1.01,IF(S59="REDS",1.05,IF(S59="RED SOX",1.04,IF(S59="YANKEES",1.02,IF(S59="DODGERS",0.99,IF(S59="PADRES",0.96,IF(S59="CUBS",0.98,IF(S59="GIANTS",0.97,IF(S59="MARINERS",0.94,IF(S59="RANGERS",1,IF(S59="ASTROS",0.99,IF(S59="BRAVES",1,IF(S59="METS",0.96,IF(S59="PHILLIES",1.02,IF(S59="BLUE JAYS",1.01,IF(S59="ORIOLES",0.99,IF(S59="RAYS",1.01,IF(S59="GUARDIANS",0.99,IF(S59="WHITE SOX",0.98,IF(S59="ANGELS",1.01,IF(S59="D-BACKS",1.01,IF(S59="BREWERS",0.99,IF(S59="CARDINALS",0.96,IF(S59="PIRATES",1.02,IF(S59="NATIONALS",1,1))))))))))))))))))))))))))))))*IF(W59="",1,(1+((W59-70)/10*0.035)))*IF(U59="DOME",1,IF(U59="IN",1-(V59*0.01),IF(U59="OUT",1+(V59*0.01),IF(OR(U59="L-R",U59="R-L"),1+(V59*0.005),1))))</f>
        <v/>
      </c>
      <c r="U59" s="15" t="inlineStr">
        <is>
          <t>DOME</t>
        </is>
      </c>
      <c r="V59" s="15" t="n"/>
      <c r="W59" s="15" t="n"/>
      <c r="Y59">
        <f>B59 &amp; " vs. " &amp; H59</f>
        <v/>
      </c>
      <c r="Z59">
        <f>TRIM(LEFT(Y59, FIND("vs.", Y59)-1))</f>
        <v/>
      </c>
      <c r="AA59">
        <f>TRIM(MID(Y59, FIND(" vs. ", Y59)+4, 100))</f>
        <v/>
      </c>
      <c r="AB59">
        <f>IF(Q59 &gt; VALUE(AC59), "O " &amp; AC59, IF(Q59 &lt; VALUE(AC59), "U " &amp; AC59, AC59))</f>
        <v/>
      </c>
      <c r="AC59" s="15">
        <f>IF(OR(O59="-", P59="-"), "-", MROUND(O59 + P59, 0.5))</f>
        <v/>
      </c>
      <c r="AD59" s="15">
        <f>VALUE(TRIM(RIGHT(AF59, LEN(AF59) - FIND(" ", AF59))))</f>
        <v/>
      </c>
      <c r="AE59" s="15">
        <f>LEFT(AF59,FIND(" ",AF59)-1)</f>
        <v/>
      </c>
      <c r="AF59" s="15">
        <f>IF(OR(O59="-", P59="-"), "-",
IF(MROUND(ABS(O59-P59),0.5)&lt;=0.5,
IF(O59&gt;P59, B59 &amp; " ML", H59 &amp; " ML"),
IF(MROUND(ABS(O59-P59),0.5)=1,
IF(O59&gt;P59, H59 &amp; " +1.5", B59 &amp; " +1.5"),
IF(O59&gt;P59, B59 &amp; " -1.5", H59 &amp; " -1.5")
)
)
)</f>
        <v/>
      </c>
      <c r="AG59" s="15">
        <f>_xlfn.LET(
_xlpm.winA, O59^1.83 / (O59^1.83 + P59^1.83),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60">
      <c r="A60" s="14" t="n">
        <v>46111</v>
      </c>
      <c r="B60" s="15" t="inlineStr">
        <is>
          <t>GIANTS</t>
        </is>
      </c>
      <c r="C60">
        <f>VLOOKUP(B60, 'MLB Data'!$B$5:$D$34, 3, FALSE)</f>
        <v/>
      </c>
      <c r="D60" s="16" t="inlineStr">
        <is>
          <t>ROUPP</t>
        </is>
      </c>
      <c r="E60" s="17" t="n">
        <v>4.1</v>
      </c>
      <c r="F60" s="17">
        <f>VLOOKUP(B60, 'MLB Data'!$F$2:$H$34, 3, FALSE)</f>
        <v/>
      </c>
      <c r="G60" s="17">
        <f>IF((E60*0.6+F60*0.4)&lt;2.5, 2.8, IF((E60*0.6+F60*0.4)&gt;5.5, 5.2, (E60*0.6+F60*0.4)))</f>
        <v/>
      </c>
      <c r="H60" s="15" t="inlineStr">
        <is>
          <t>PADRES</t>
        </is>
      </c>
      <c r="I60">
        <f>VLOOKUP(H60, 'MLB Data'!$B$5:$D$34, 3, FALSE)</f>
        <v/>
      </c>
      <c r="J60" s="16" t="inlineStr">
        <is>
          <t>BUEHLER</t>
        </is>
      </c>
      <c r="K60" t="n">
        <v>6.25</v>
      </c>
      <c r="L60" s="17">
        <f>VLOOKUP(H60, 'MLB Data'!$F$2:$H$34, 3, FALSE)</f>
        <v/>
      </c>
      <c r="M60" s="17">
        <f>IF((K60*0.6+L60*0.4)&lt;2.5, 2.8, IF((K60*0.6+L60*0.4)&gt;5.5, 5.2, (K60*0.6+L60*0.4)))</f>
        <v/>
      </c>
      <c r="O60" s="18">
        <f>(C60/100) * 4.45 * (M60 / 4.2) * T60</f>
        <v/>
      </c>
      <c r="P60" s="18">
        <f>(I60/100) * 4.45 * (G60 / 4.2) * T60</f>
        <v/>
      </c>
      <c r="Q60" s="18">
        <f>(O60+P60)</f>
        <v/>
      </c>
      <c r="S60" s="15">
        <f>H60</f>
        <v/>
      </c>
      <c r="T60" s="19">
        <f>IF(S60="ROCKIES",1.13,IF(S60="ATHLETICS",1.03,IF(S60="ROYALS",1.03,IF(S60="TWINS",1,IF(S60="TIGERS",1,IF(S60="MARLINS",1.01,IF(S60="REDS",1.05,IF(S60="RED SOX",1.04,IF(S60="YANKEES",1.02,IF(S60="DODGERS",0.99,IF(S60="PADRES",0.96,IF(S60="CUBS",0.98,IF(S60="GIANTS",0.97,IF(S60="MARINERS",0.94,IF(S60="RANGERS",1,IF(S60="ASTROS",0.99,IF(S60="BRAVES",1,IF(S60="METS",0.96,IF(S60="PHILLIES",1.02,IF(S60="BLUE JAYS",1.01,IF(S60="ORIOLES",0.99,IF(S60="RAYS",1.01,IF(S60="GUARDIANS",0.99,IF(S60="WHITE SOX",0.98,IF(S60="ANGELS",1.01,IF(S60="D-BACKS",1.01,IF(S60="BREWERS",0.99,IF(S60="CARDINALS",0.96,IF(S60="PIRATES",1.02,IF(S60="NATIONALS",1,1))))))))))))))))))))))))))))))*IF(W60="",1,(1+((W60-70)/10*0.035)))*IF(U60="DOME",1,IF(U60="IN",1-(V60*0.01),IF(U60="OUT",1+(V60*0.01),IF(OR(U60="L-R",U60="R-L"),1+(V60*0.005),1))))</f>
        <v/>
      </c>
      <c r="U60" s="15" t="inlineStr">
        <is>
          <t>OUT</t>
        </is>
      </c>
      <c r="V60" s="15" t="n"/>
      <c r="W60" s="15" t="n">
        <v>67</v>
      </c>
      <c r="Y60">
        <f>B60 &amp; " vs. " &amp; H60</f>
        <v/>
      </c>
      <c r="Z60">
        <f>TRIM(LEFT(Y60, FIND("vs.", Y60)-1))</f>
        <v/>
      </c>
      <c r="AA60">
        <f>TRIM(MID(Y60, FIND(" vs. ", Y60)+4, 100))</f>
        <v/>
      </c>
      <c r="AB60">
        <f>IF(Q60 &gt; VALUE(AC60), "O " &amp; AC60, IF(Q60 &lt; VALUE(AC60), "U " &amp; AC60, AC60))</f>
        <v/>
      </c>
      <c r="AC60" s="15">
        <f>IF(OR(O60="-", P60="-"), "-", MROUND(O60 + P60, 0.5))</f>
        <v/>
      </c>
      <c r="AD60" s="15">
        <f>VALUE(TRIM(RIGHT(AF60, LEN(AF60) - FIND(" ", AF60))))</f>
        <v/>
      </c>
      <c r="AE60" s="15">
        <f>LEFT(AF60,FIND(" ",AF60)-1)</f>
        <v/>
      </c>
      <c r="AF60" s="15">
        <f>IF(OR(O60="-", P60="-"), "-",
IF(MROUND(ABS(O60-P60),0.5)&lt;=0.5,
IF(O60&gt;P60, B60 &amp; " ML", H60 &amp; " ML"),
IF(MROUND(ABS(O60-P60),0.5)=1,
IF(O60&gt;P60, H60 &amp; " +1.5", B60 &amp; " +1.5"),
IF(O60&gt;P60, B60 &amp; " -1.5", H60 &amp; " -1.5")
)
)
)</f>
        <v/>
      </c>
      <c r="AG60" s="15">
        <f>_xlfn.LET(
_xlpm.winA, O60^1.83 / (O60^1.83 + P60^1.83),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61">
      <c r="A61" s="14" t="n">
        <v>46111</v>
      </c>
      <c r="B61" s="15" t="inlineStr">
        <is>
          <t>YANKEES</t>
        </is>
      </c>
      <c r="C61">
        <f>VLOOKUP(B61, 'MLB Data'!$B$5:$D$34, 3, FALSE)</f>
        <v/>
      </c>
      <c r="D61" s="16" t="inlineStr">
        <is>
          <t>WEATHERS</t>
        </is>
      </c>
      <c r="E61" s="17" t="n">
        <v>4.03</v>
      </c>
      <c r="F61" s="17">
        <f>VLOOKUP(B61, 'MLB Data'!$F$2:$H$34, 3, FALSE)</f>
        <v/>
      </c>
      <c r="G61" s="17">
        <f>IF((E61*0.6+F61*0.4)&lt;2.5, 2.8, IF((E61*0.6+F61*0.4)&gt;5.5, 5.2, (E61*0.6+F61*0.4)))</f>
        <v/>
      </c>
      <c r="H61" s="15" t="inlineStr">
        <is>
          <t>MARINERS</t>
        </is>
      </c>
      <c r="I61">
        <f>VLOOKUP(H61, 'MLB Data'!$B$5:$D$34, 3, FALSE)</f>
        <v/>
      </c>
      <c r="J61" s="16" t="inlineStr">
        <is>
          <t>CASTILLO</t>
        </is>
      </c>
      <c r="K61" t="n">
        <v>4.09</v>
      </c>
      <c r="L61" s="17">
        <f>VLOOKUP(H61, 'MLB Data'!$F$2:$H$34, 3, FALSE)</f>
        <v/>
      </c>
      <c r="M61" s="17">
        <f>IF((K61*0.6+L61*0.4)&lt;2.5, 2.8, IF((K61*0.6+L61*0.4)&gt;5.5, 5.2, (K61*0.6+L61*0.4)))</f>
        <v/>
      </c>
      <c r="O61" s="18">
        <f>(C61/100) * 4.45 * (M61 / 4.2) * T61</f>
        <v/>
      </c>
      <c r="P61" s="18">
        <f>(I61/100) * 4.45 * (G61 / 4.2) * T61</f>
        <v/>
      </c>
      <c r="Q61" s="18">
        <f>(O61+P61)</f>
        <v/>
      </c>
      <c r="S61" s="15">
        <f>H61</f>
        <v/>
      </c>
      <c r="T61" s="19">
        <f>IF(S61="ROCKIES",1.13,IF(S61="ATHLETICS",1.03,IF(S61="ROYALS",1.03,IF(S61="TWINS",1,IF(S61="TIGERS",1,IF(S61="MARLINS",1.01,IF(S61="REDS",1.05,IF(S61="RED SOX",1.04,IF(S61="YANKEES",1.02,IF(S61="DODGERS",0.99,IF(S61="PADRES",0.96,IF(S61="CUBS",0.98,IF(S61="GIANTS",0.97,IF(S61="MARINERS",0.94,IF(S61="RANGERS",1,IF(S61="ASTROS",0.99,IF(S61="BRAVES",1,IF(S61="METS",0.96,IF(S61="PHILLIES",1.02,IF(S61="BLUE JAYS",1.01,IF(S61="ORIOLES",0.99,IF(S61="RAYS",1.01,IF(S61="GUARDIANS",0.99,IF(S61="WHITE SOX",0.98,IF(S61="ANGELS",1.01,IF(S61="D-BACKS",1.01,IF(S61="BREWERS",0.99,IF(S61="CARDINALS",0.96,IF(S61="PIRATES",1.02,IF(S61="NATIONALS",1,1))))))))))))))))))))))))))))))*IF(W61="",1,(1+((W61-70)/10*0.035)))*IF(U61="DOME",1,IF(U61="IN",1-(V61*0.01),IF(U61="OUT",1+(V61*0.01),IF(OR(U61="L-R",U61="R-L"),1+(V61*0.005),1))))</f>
        <v/>
      </c>
      <c r="U61" s="15" t="inlineStr">
        <is>
          <t>DOME</t>
        </is>
      </c>
      <c r="V61" s="15" t="n"/>
      <c r="W61" s="15" t="n"/>
      <c r="Y61">
        <f>B61 &amp; " vs. " &amp; H61</f>
        <v/>
      </c>
      <c r="Z61">
        <f>TRIM(LEFT(Y61, FIND("vs.", Y61)-1))</f>
        <v/>
      </c>
      <c r="AA61">
        <f>TRIM(MID(Y61, FIND(" vs. ", Y61)+4, 100))</f>
        <v/>
      </c>
      <c r="AB61">
        <f>IF(Q61 &gt; VALUE(AC61), "O " &amp; AC61, IF(Q61 &lt; VALUE(AC61), "U " &amp; AC61, AC61))</f>
        <v/>
      </c>
      <c r="AC61" s="15">
        <f>IF(OR(O61="-", P61="-"), "-", MROUND(O61 + P61, 0.5))</f>
        <v/>
      </c>
      <c r="AD61" s="15">
        <f>VALUE(TRIM(RIGHT(AF61, LEN(AF61) - FIND(" ", AF61))))</f>
        <v/>
      </c>
      <c r="AE61" s="15">
        <f>LEFT(AF61,FIND(" ",AF61)-1)</f>
        <v/>
      </c>
      <c r="AF61" s="15">
        <f>IF(OR(O61="-", P61="-"), "-",
IF(MROUND(ABS(O61-P61),0.5)&lt;=0.5,
IF(O61&gt;P61, B61 &amp; " ML", H61 &amp; " ML"),
IF(MROUND(ABS(O61-P61),0.5)=1,
IF(O61&gt;P61, H61 &amp; " +1.5", B61 &amp; " +1.5"),
IF(O61&gt;P61, B61 &amp; " -1.5", H61 &amp; " -1.5")
)
)
)</f>
        <v/>
      </c>
      <c r="AG61" s="15">
        <f>_xlfn.LET(
_xlpm.winA, O61^1.83 / (O61^1.83 + P61^1.83),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62">
      <c r="A62" s="14" t="n">
        <v>46111</v>
      </c>
      <c r="B62" s="15" t="inlineStr">
        <is>
          <t>TIGERS</t>
        </is>
      </c>
      <c r="C62">
        <f>VLOOKUP(B62, 'MLB Data'!$B$5:$D$34, 3, FALSE)</f>
        <v/>
      </c>
      <c r="D62" s="16" t="inlineStr">
        <is>
          <t>VERLANDER</t>
        </is>
      </c>
      <c r="E62" s="17" t="n">
        <v>4.57</v>
      </c>
      <c r="F62" s="17">
        <f>VLOOKUP(B62, 'MLB Data'!$F$2:$H$34, 3, FALSE)</f>
        <v/>
      </c>
      <c r="G62" s="17">
        <f>IF((E62*0.6+F62*0.4)&lt;2.5, 2.8, IF((E62*0.6+F62*0.4)&gt;5.5, 5.2, (E62*0.6+F62*0.4)))</f>
        <v/>
      </c>
      <c r="H62" s="15" t="inlineStr">
        <is>
          <t>D-BACKS</t>
        </is>
      </c>
      <c r="I62">
        <f>VLOOKUP(H62, 'MLB Data'!$B$5:$D$34, 3, FALSE)</f>
        <v/>
      </c>
      <c r="J62" s="16" t="inlineStr">
        <is>
          <t>SOROKA</t>
        </is>
      </c>
      <c r="K62" t="n">
        <v>4.17</v>
      </c>
      <c r="L62" s="17">
        <f>VLOOKUP(H62, 'MLB Data'!$F$2:$H$34, 3, FALSE)</f>
        <v/>
      </c>
      <c r="M62" s="17">
        <f>IF((K62*0.6+L62*0.4)&lt;2.5, 2.8, IF((K62*0.6+L62*0.4)&gt;5.5, 5.2, (K62*0.6+L62*0.4)))</f>
        <v/>
      </c>
      <c r="O62" s="18">
        <f>(C62/100) * 4.45 * (M62 / 4.2) * T62</f>
        <v/>
      </c>
      <c r="P62" s="18">
        <f>(I62/100) * 4.45 * (G62 / 4.2) * T62</f>
        <v/>
      </c>
      <c r="Q62" s="18">
        <f>(O62+P62)</f>
        <v/>
      </c>
      <c r="S62" s="15">
        <f>H62</f>
        <v/>
      </c>
      <c r="T62" s="19">
        <f>IF(S62="ROCKIES",1.13,IF(S62="ATHLETICS",1.03,IF(S62="ROYALS",1.03,IF(S62="TWINS",1,IF(S62="TIGERS",1,IF(S62="MARLINS",1.01,IF(S62="REDS",1.05,IF(S62="RED SOX",1.04,IF(S62="YANKEES",1.02,IF(S62="DODGERS",0.99,IF(S62="PADRES",0.96,IF(S62="CUBS",0.98,IF(S62="GIANTS",0.97,IF(S62="MARINERS",0.94,IF(S62="RANGERS",1,IF(S62="ASTROS",0.99,IF(S62="BRAVES",1,IF(S62="METS",0.96,IF(S62="PHILLIES",1.02,IF(S62="BLUE JAYS",1.01,IF(S62="ORIOLES",0.99,IF(S62="RAYS",1.01,IF(S62="GUARDIANS",0.99,IF(S62="WHITE SOX",0.98,IF(S62="ANGELS",1.01,IF(S62="D-BACKS",1.01,IF(S62="BREWERS",0.99,IF(S62="CARDINALS",0.96,IF(S62="PIRATES",1.02,IF(S62="NATIONALS",1,1))))))))))))))))))))))))))))))*IF(W62="",1,(1+((W62-70)/10*0.035)))*IF(U62="DOME",1,IF(U62="IN",1-(V62*0.01),IF(U62="OUT",1+(V62*0.01),IF(OR(U62="L-R",U62="R-L"),1+(V62*0.005),1))))</f>
        <v/>
      </c>
      <c r="U62" s="15" t="inlineStr">
        <is>
          <t>DOME</t>
        </is>
      </c>
      <c r="V62" s="15" t="n"/>
      <c r="W62" s="15" t="n"/>
      <c r="Y62">
        <f>B62 &amp; " vs. " &amp; H62</f>
        <v/>
      </c>
      <c r="Z62">
        <f>TRIM(LEFT(Y62, FIND("vs.", Y62)-1))</f>
        <v/>
      </c>
      <c r="AA62">
        <f>TRIM(MID(Y62, FIND(" vs. ", Y62)+4, 100))</f>
        <v/>
      </c>
      <c r="AB62">
        <f>IF(Q62 &gt; VALUE(AC62), "O " &amp; AC62, IF(Q62 &lt; VALUE(AC62), "U " &amp; AC62, AC62))</f>
        <v/>
      </c>
      <c r="AC62" s="15">
        <f>IF(OR(O62="-", P62="-"), "-", MROUND(O62 + P62, 0.5))</f>
        <v/>
      </c>
      <c r="AD62" s="15">
        <f>VALUE(TRIM(RIGHT(AF62, LEN(AF62) - FIND(" ", AF62))))</f>
        <v/>
      </c>
      <c r="AE62" s="15">
        <f>LEFT(AF62,FIND(" ",AF62)-1)</f>
        <v/>
      </c>
      <c r="AF62" s="15">
        <f>IF(OR(O62="-", P62="-"), "-",
IF(MROUND(ABS(O62-P62),0.5)&lt;=0.5,
IF(O62&gt;P62, B62 &amp; " ML", H62 &amp; " ML"),
IF(MROUND(ABS(O62-P62),0.5)=1,
IF(O62&gt;P62, H62 &amp; " +1.5", B62 &amp; " +1.5"),
IF(O62&gt;P62, B62 &amp; " -1.5", H62 &amp; " -1.5")
)
)
)</f>
        <v/>
      </c>
      <c r="AG62" s="15">
        <f>_xlfn.LET(
_xlpm.winA, O62^1.83 / (O62^1.83 + P62^1.83),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63">
      <c r="A63" s="14" t="n">
        <v>46111</v>
      </c>
      <c r="B63" s="15" t="inlineStr">
        <is>
          <t>GUARDIANS</t>
        </is>
      </c>
      <c r="C63">
        <f>VLOOKUP(B63, 'MLB Data'!$B$5:$D$34, 3, FALSE)</f>
        <v/>
      </c>
      <c r="D63" s="16" t="inlineStr">
        <is>
          <t>MESSICK</t>
        </is>
      </c>
      <c r="E63" s="17" t="n">
        <v>3.15</v>
      </c>
      <c r="F63" s="17">
        <f>VLOOKUP(B63, 'MLB Data'!$F$2:$H$34, 3, FALSE)</f>
        <v/>
      </c>
      <c r="G63" s="17">
        <f>IF((E63*0.6+F63*0.4)&lt;2.5, 2.8, IF((E63*0.6+F63*0.4)&gt;5.5, 5.2, (E63*0.6+F63*0.4)))</f>
        <v/>
      </c>
      <c r="H63" s="15" t="inlineStr">
        <is>
          <t>DODGERS</t>
        </is>
      </c>
      <c r="I63">
        <f>VLOOKUP(H63, 'MLB Data'!$B$5:$D$34, 3, FALSE)</f>
        <v/>
      </c>
      <c r="J63" s="16" t="inlineStr">
        <is>
          <t>SASAKI</t>
        </is>
      </c>
      <c r="K63" t="n">
        <v>5.85</v>
      </c>
      <c r="L63" s="17">
        <f>VLOOKUP(H63, 'MLB Data'!$F$2:$H$34, 3, FALSE)</f>
        <v/>
      </c>
      <c r="M63" s="17">
        <f>IF((K63*0.6+L63*0.4)&lt;2.5, 2.8, IF((K63*0.6+L63*0.4)&gt;5.5, 5.2, (K63*0.6+L63*0.4)))</f>
        <v/>
      </c>
      <c r="O63" s="18">
        <f>(C63/100) * 4.45 * (M63 / 4.2) * T63</f>
        <v/>
      </c>
      <c r="P63" s="18">
        <f>(I63/100) * 4.45 * (G63 / 4.2) * T63</f>
        <v/>
      </c>
      <c r="Q63" s="18">
        <f>(O63+P63)</f>
        <v/>
      </c>
      <c r="S63" s="15">
        <f>H63</f>
        <v/>
      </c>
      <c r="T63" s="19">
        <f>IF(S63="ROCKIES",1.13,IF(S63="ATHLETICS",1.03,IF(S63="ROYALS",1.03,IF(S63="TWINS",1,IF(S63="TIGERS",1,IF(S63="MARLINS",1.01,IF(S63="REDS",1.05,IF(S63="RED SOX",1.04,IF(S63="YANKEES",1.02,IF(S63="DODGERS",0.99,IF(S63="PADRES",0.96,IF(S63="CUBS",0.98,IF(S63="GIANTS",0.97,IF(S63="MARINERS",0.94,IF(S63="RANGERS",1,IF(S63="ASTROS",0.99,IF(S63="BRAVES",1,IF(S63="METS",0.96,IF(S63="PHILLIES",1.02,IF(S63="BLUE JAYS",1.01,IF(S63="ORIOLES",0.99,IF(S63="RAYS",1.01,IF(S63="GUARDIANS",0.99,IF(S63="WHITE SOX",0.98,IF(S63="ANGELS",1.01,IF(S63="D-BACKS",1.01,IF(S63="BREWERS",0.99,IF(S63="CARDINALS",0.96,IF(S63="PIRATES",1.02,IF(S63="NATIONALS",1,1))))))))))))))))))))))))))))))*IF(W63="",1,(1+((W63-70)/10*0.035)))*IF(U63="DOME",1,IF(U63="IN",1-(V63*0.01),IF(U63="OUT",1+(V63*0.01),IF(OR(U63="L-R",U63="R-L"),1+(V63*0.005),1))))</f>
        <v/>
      </c>
      <c r="U63" s="15" t="inlineStr">
        <is>
          <t>OUT</t>
        </is>
      </c>
      <c r="V63" s="15" t="n"/>
      <c r="W63" s="15" t="n">
        <v>65</v>
      </c>
      <c r="Y63">
        <f>B63 &amp; " vs. " &amp; H63</f>
        <v/>
      </c>
      <c r="Z63">
        <f>TRIM(LEFT(Y63, FIND("vs.", Y63)-1))</f>
        <v/>
      </c>
      <c r="AA63">
        <f>TRIM(MID(Y63, FIND(" vs. ", Y63)+4, 100))</f>
        <v/>
      </c>
      <c r="AB63">
        <f>IF(Q63 &gt; VALUE(AC63), "O " &amp; AC63, IF(Q63 &lt; VALUE(AC63), "U " &amp; AC63, AC63))</f>
        <v/>
      </c>
      <c r="AC63" s="15">
        <f>IF(OR(O63="-", P63="-"), "-", MROUND(O63 + P63, 0.5))</f>
        <v/>
      </c>
      <c r="AD63" s="15">
        <f>VALUE(TRIM(RIGHT(AF63, LEN(AF63) - FIND(" ", AF63))))</f>
        <v/>
      </c>
      <c r="AE63" s="15">
        <f>LEFT(AF63,FIND(" ",AF63)-1)</f>
        <v/>
      </c>
      <c r="AF63" s="15">
        <f>IF(OR(O63="-", P63="-"), "-",
IF(MROUND(ABS(O63-P63),0.5)&lt;=0.5,
IF(O63&gt;P63, B63 &amp; " ML", H63 &amp; " ML"),
IF(MROUND(ABS(O63-P63),0.5)=1,
IF(O63&gt;P63, H63 &amp; " +1.5", B63 &amp; " +1.5"),
IF(O63&gt;P63, B63 &amp; " -1.5", H63 &amp; " -1.5")
)
)
)</f>
        <v/>
      </c>
      <c r="AG63" s="15">
        <f>_xlfn.LET(
_xlpm.winA, O63^1.83 / (O63^1.83 + P63^1.83),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64">
      <c r="A64" s="14" t="n">
        <v>46112</v>
      </c>
      <c r="B64" s="15" t="inlineStr">
        <is>
          <t>RANGERS</t>
        </is>
      </c>
      <c r="C64">
        <f>VLOOKUP(B64, 'MLB Data'!$B$5:$D$34, 3, FALSE)</f>
        <v/>
      </c>
      <c r="D64" s="16" t="inlineStr">
        <is>
          <t>DEGROM</t>
        </is>
      </c>
      <c r="E64" s="17" t="n">
        <v>3.37</v>
      </c>
      <c r="F64" s="17">
        <f>VLOOKUP(B64, 'MLB Data'!$F$2:$H$34, 3, FALSE)</f>
        <v/>
      </c>
      <c r="G64" s="19">
        <f>IF((E64*0.6+F64*0.4)&lt;2.5, 2.8, IF((E64*0.6+F64*0.4)&gt;5.5, 5.2, (E64*0.6+F64*0.4)))</f>
        <v/>
      </c>
      <c r="H64" s="15" t="inlineStr">
        <is>
          <t>ORIOLES</t>
        </is>
      </c>
      <c r="I64">
        <f>VLOOKUP(H64, 'MLB Data'!$B$5:$D$34, 3, FALSE)</f>
        <v/>
      </c>
      <c r="J64" s="16" t="inlineStr">
        <is>
          <t>EFLIN</t>
        </is>
      </c>
      <c r="K64" s="17" t="n">
        <v>4.37</v>
      </c>
      <c r="L64" s="17">
        <f>VLOOKUP(H64, 'MLB Data'!$F$2:$H$34, 3, FALSE)</f>
        <v/>
      </c>
      <c r="M64" s="17">
        <f>IF((K64*0.6+L64*0.4)&lt;2.5, 2.8, IF((K64*0.6+L64*0.4)&gt;5.5, 5.2, (K64*0.6+L64*0.4)))</f>
        <v/>
      </c>
      <c r="O64" s="18">
        <f>(C64/100) * 4.45 * (M64 / 4.2) * T64</f>
        <v/>
      </c>
      <c r="P64" s="18">
        <f>(I64/100) * 4.45 * (G64 / 4.2) * T64</f>
        <v/>
      </c>
      <c r="Q64" s="18">
        <f>(O64+P64)</f>
        <v/>
      </c>
      <c r="S64" s="15">
        <f>H64</f>
        <v/>
      </c>
      <c r="T64" s="19">
        <f>IF(S64="ROCKIES",1.13,IF(S64="ATHLETICS",1.03,IF(S64="ROYALS",1.03,IF(S64="TWINS",1,IF(S64="TIGERS",1,IF(S64="MARLINS",1.01,IF(S64="REDS",1.05,IF(S64="RED SOX",1.04,IF(S64="YANKEES",1.02,IF(S64="DODGERS",0.99,IF(S64="PADRES",0.96,IF(S64="CUBS",0.98,IF(S64="GIANTS",0.97,IF(S64="MARINERS",0.94,IF(S64="RANGERS",1,IF(S64="ASTROS",0.99,IF(S64="BRAVES",1,IF(S64="METS",0.96,IF(S64="PHILLIES",1.02,IF(S64="BLUE JAYS",1.01,IF(S64="ORIOLES",0.99,IF(S64="RAYS",1.01,IF(S64="GUARDIANS",0.99,IF(S64="WHITE SOX",0.98,IF(S64="ANGELS",1.01,IF(S64="D-BACKS",1.01,IF(S64="BREWERS",0.99,IF(S64="CARDINALS",0.96,IF(S64="PIRATES",1.02,IF(S64="NATIONALS",1,1))))))))))))))))))))))))))))))*IF(W64="",1,(1+((W64-70)/10*0.035)))*IF(U64="DOME",1,IF(U64="IN",1-(V64*0.01),IF(U64="OUT",1+(V64*0.01),IF(OR(U64="L-R",U64="R-L"),1+(V64*0.005),1))))</f>
        <v/>
      </c>
      <c r="U64" s="15" t="inlineStr">
        <is>
          <t>OUT</t>
        </is>
      </c>
      <c r="V64" s="15" t="n"/>
      <c r="W64" s="15" t="n">
        <v>81</v>
      </c>
      <c r="Y64">
        <f>B64 &amp; " vs. " &amp; H64</f>
        <v/>
      </c>
      <c r="Z64">
        <f>TRIM(LEFT(Y64, FIND("vs.", Y64)-1))</f>
        <v/>
      </c>
      <c r="AA64">
        <f>TRIM(MID(Y64, FIND(" vs. ", Y64)+4, 100))</f>
        <v/>
      </c>
      <c r="AB64">
        <f>IF(Q64 &gt; VALUE(AC64), "O " &amp; AC64, IF(Q64 &lt; VALUE(AC64), "U " &amp; AC64, AC64))</f>
        <v/>
      </c>
      <c r="AC64" s="15">
        <f>IF(OR(O64="-", P64="-"), "-", MROUND(O64 + P64, 0.5))</f>
        <v/>
      </c>
      <c r="AD64" s="15">
        <f>VALUE(TRIM(RIGHT(AF64, LEN(AF64) - FIND(" ", AF64))))</f>
        <v/>
      </c>
      <c r="AE64" s="15">
        <f>LEFT(AF64,FIND(" ",AF64)-1)</f>
        <v/>
      </c>
      <c r="AF64" s="15">
        <f>IF(OR(O64="-", P64="-"), "-",
IF(MROUND(ABS(O64-P64),0.5)&lt;=0.5,
IF(O64&gt;P64, B64 &amp; " ML", H64 &amp; " ML"),
IF(MROUND(ABS(O64-P64),0.5)=1,
IF(O64&gt;P64, H64 &amp; " +1.5", B64 &amp; " +1.5"),
IF(O64&gt;P64, B64 &amp; " -1.5", H64 &amp; " -1.5")
)
)
)</f>
        <v/>
      </c>
      <c r="AG64" s="15">
        <f>_xlfn.LET(
_xlpm.winA, O64^1.83 / (O64^1.83 + P64^1.83),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65">
      <c r="A65" s="14" t="n">
        <v>46112</v>
      </c>
      <c r="B65" s="15" t="inlineStr">
        <is>
          <t>PIRATES</t>
        </is>
      </c>
      <c r="C65">
        <f>VLOOKUP(B65, 'MLB Data'!$B$5:$D$34, 3, FALSE)</f>
        <v/>
      </c>
      <c r="D65" s="16" t="inlineStr">
        <is>
          <t>CHANDLER</t>
        </is>
      </c>
      <c r="E65" s="17" t="n">
        <v>2.92</v>
      </c>
      <c r="F65" s="17">
        <f>VLOOKUP(B65, 'MLB Data'!$F$2:$H$34, 3, FALSE)</f>
        <v/>
      </c>
      <c r="G65" s="19">
        <f>IF((E65*0.6+F65*0.4)&lt;2.5, 2.8, IF((E65*0.6+F65*0.4)&gt;5.5, 5.2, (E65*0.6+F65*0.4)))</f>
        <v/>
      </c>
      <c r="H65" s="15" t="inlineStr">
        <is>
          <t>REDS</t>
        </is>
      </c>
      <c r="I65">
        <f>VLOOKUP(H65, 'MLB Data'!$B$5:$D$34, 3, FALSE)</f>
        <v/>
      </c>
      <c r="J65" s="16" t="inlineStr">
        <is>
          <t>WILLIAMSON</t>
        </is>
      </c>
      <c r="K65" s="17" t="n">
        <v>4.96</v>
      </c>
      <c r="L65" s="17">
        <f>VLOOKUP(H65, 'MLB Data'!$F$2:$H$34, 3, FALSE)</f>
        <v/>
      </c>
      <c r="M65" s="17">
        <f>IF((K65*0.6+L65*0.4)&lt;2.5, 2.8, IF((K65*0.6+L65*0.4)&gt;5.5, 5.2, (K65*0.6+L65*0.4)))</f>
        <v/>
      </c>
      <c r="O65" s="18">
        <f>(C65/100) * 4.45 * (M65 / 4.2) * T65</f>
        <v/>
      </c>
      <c r="P65" s="18">
        <f>(I65/100) * 4.45 * (G65 / 4.2) * T65</f>
        <v/>
      </c>
      <c r="Q65" s="18">
        <f>(O65+P65)</f>
        <v/>
      </c>
      <c r="S65" s="15">
        <f>H65</f>
        <v/>
      </c>
      <c r="T65" s="19">
        <f>IF(S65="ROCKIES",1.13,IF(S65="ATHLETICS",1.03,IF(S65="ROYALS",1.03,IF(S65="TWINS",1,IF(S65="TIGERS",1,IF(S65="MARLINS",1.01,IF(S65="REDS",1.05,IF(S65="RED SOX",1.04,IF(S65="YANKEES",1.02,IF(S65="DODGERS",0.99,IF(S65="PADRES",0.96,IF(S65="CUBS",0.98,IF(S65="GIANTS",0.97,IF(S65="MARINERS",0.94,IF(S65="RANGERS",1,IF(S65="ASTROS",0.99,IF(S65="BRAVES",1,IF(S65="METS",0.96,IF(S65="PHILLIES",1.02,IF(S65="BLUE JAYS",1.01,IF(S65="ORIOLES",0.99,IF(S65="RAYS",1.01,IF(S65="GUARDIANS",0.99,IF(S65="WHITE SOX",0.98,IF(S65="ANGELS",1.01,IF(S65="D-BACKS",1.01,IF(S65="BREWERS",0.99,IF(S65="CARDINALS",0.96,IF(S65="PIRATES",1.02,IF(S65="NATIONALS",1,1))))))))))))))))))))))))))))))*IF(W65="",1,(1+((W65-70)/10*0.035)))*IF(U65="DOME",1,IF(U65="IN",1-(V65*0.01),IF(U65="OUT",1+(V65*0.01),IF(OR(U65="L-R",U65="R-L"),1+(V65*0.005),1))))</f>
        <v/>
      </c>
      <c r="U65" s="15" t="inlineStr">
        <is>
          <t>R-L</t>
        </is>
      </c>
      <c r="V65" s="15" t="n"/>
      <c r="W65" s="15" t="n">
        <v>83</v>
      </c>
      <c r="Y65">
        <f>B65 &amp; " vs. " &amp; H65</f>
        <v/>
      </c>
      <c r="Z65">
        <f>TRIM(LEFT(Y65, FIND("vs.", Y65)-1))</f>
        <v/>
      </c>
      <c r="AA65">
        <f>TRIM(MID(Y65, FIND(" vs. ", Y65)+4, 100))</f>
        <v/>
      </c>
      <c r="AB65">
        <f>IF(Q65 &gt; VALUE(AC65), "O " &amp; AC65, IF(Q65 &lt; VALUE(AC65), "U " &amp; AC65, AC65))</f>
        <v/>
      </c>
      <c r="AC65" s="15">
        <f>IF(OR(O65="-", P65="-"), "-", MROUND(O65 + P65, 0.5))</f>
        <v/>
      </c>
      <c r="AD65" s="15">
        <f>VALUE(TRIM(RIGHT(AF65, LEN(AF65) - FIND(" ", AF65))))</f>
        <v/>
      </c>
      <c r="AE65" s="15">
        <f>LEFT(AF65,FIND(" ",AF65)-1)</f>
        <v/>
      </c>
      <c r="AF65" s="15">
        <f>IF(OR(O65="-", P65="-"), "-",
IF(MROUND(ABS(O65-P65),0.5)&lt;=0.5,
IF(O65&gt;P65, B65 &amp; " ML", H65 &amp; " ML"),
IF(MROUND(ABS(O65-P65),0.5)=1,
IF(O65&gt;P65, H65 &amp; " +1.5", B65 &amp; " +1.5"),
IF(O65&gt;P65, B65 &amp; " -1.5", H65 &amp; " -1.5")
)
)
)</f>
        <v/>
      </c>
      <c r="AG65" s="15">
        <f>_xlfn.LET(
_xlpm.winA, O65^1.83 / (O65^1.83 + P65^1.83),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66">
      <c r="A66" s="14" t="n">
        <v>46112</v>
      </c>
      <c r="B66" s="15" t="inlineStr">
        <is>
          <t>NATIONALS</t>
        </is>
      </c>
      <c r="C66">
        <f>VLOOKUP(B66, 'MLB Data'!$B$5:$D$34, 3, FALSE)</f>
        <v/>
      </c>
      <c r="D66" s="16" t="inlineStr">
        <is>
          <t>POULIN</t>
        </is>
      </c>
      <c r="E66" s="17" t="n">
        <v>7.81</v>
      </c>
      <c r="F66" s="17">
        <f>VLOOKUP(B66, 'MLB Data'!$F$2:$H$34, 3, FALSE)</f>
        <v/>
      </c>
      <c r="G66" s="19">
        <f>IF((E66*0.6+F66*0.4)&lt;2.5, 2.8, IF((E66*0.6+F66*0.4)&gt;5.5, 5.2, (E66*0.6+F66*0.4)))</f>
        <v/>
      </c>
      <c r="H66" s="15" t="inlineStr">
        <is>
          <t>PHILLIES</t>
        </is>
      </c>
      <c r="I66">
        <f>VLOOKUP(H66, 'MLB Data'!$B$5:$D$34, 3, FALSE)</f>
        <v/>
      </c>
      <c r="J66" s="16" t="inlineStr">
        <is>
          <t>PAINTER</t>
        </is>
      </c>
      <c r="K66" s="17" t="n">
        <v>4.2</v>
      </c>
      <c r="L66" s="17">
        <f>VLOOKUP(H66, 'MLB Data'!$F$2:$H$34, 3, FALSE)</f>
        <v/>
      </c>
      <c r="M66" s="17">
        <f>IF((K66*0.6+L66*0.4)&lt;2.5, 2.8, IF((K66*0.6+L66*0.4)&gt;5.5, 5.2, (K66*0.6+L66*0.4)))</f>
        <v/>
      </c>
      <c r="O66" s="18">
        <f>(C66/100) * 4.45 * (M66 / 4.2) * T66</f>
        <v/>
      </c>
      <c r="P66" s="18">
        <f>(I66/100) * 4.45 * (G66 / 4.2) * T66</f>
        <v/>
      </c>
      <c r="Q66" s="18">
        <f>(O66+P66)</f>
        <v/>
      </c>
      <c r="S66" s="15">
        <f>H66</f>
        <v/>
      </c>
      <c r="T66" s="19">
        <f>IF(S66="ROCKIES",1.13,IF(S66="ATHLETICS",1.03,IF(S66="ROYALS",1.03,IF(S66="TWINS",1,IF(S66="TIGERS",1,IF(S66="MARLINS",1.01,IF(S66="REDS",1.05,IF(S66="RED SOX",1.04,IF(S66="YANKEES",1.02,IF(S66="DODGERS",0.99,IF(S66="PADRES",0.96,IF(S66="CUBS",0.98,IF(S66="GIANTS",0.97,IF(S66="MARINERS",0.94,IF(S66="RANGERS",1,IF(S66="ASTROS",0.99,IF(S66="BRAVES",1,IF(S66="METS",0.96,IF(S66="PHILLIES",1.02,IF(S66="BLUE JAYS",1.01,IF(S66="ORIOLES",0.99,IF(S66="RAYS",1.01,IF(S66="GUARDIANS",0.99,IF(S66="WHITE SOX",0.98,IF(S66="ANGELS",1.01,IF(S66="D-BACKS",1.01,IF(S66="BREWERS",0.99,IF(S66="CARDINALS",0.96,IF(S66="PIRATES",1.02,IF(S66="NATIONALS",1,1))))))))))))))))))))))))))))))*IF(W66="",1,(1+((W66-70)/10*0.035)))*IF(U66="DOME",1,IF(U66="IN",1-(V66*0.01),IF(U66="OUT",1+(V66*0.01),IF(OR(U66="L-R",U66="R-L"),1+(V66*0.005),1))))</f>
        <v/>
      </c>
      <c r="U66" s="15" t="inlineStr">
        <is>
          <t>OUT</t>
        </is>
      </c>
      <c r="V66" s="15" t="n"/>
      <c r="W66" s="15" t="n">
        <v>79</v>
      </c>
      <c r="Y66">
        <f>B66 &amp; " vs. " &amp; H66</f>
        <v/>
      </c>
      <c r="Z66">
        <f>TRIM(LEFT(Y66, FIND("vs.", Y66)-1))</f>
        <v/>
      </c>
      <c r="AA66">
        <f>TRIM(MID(Y66, FIND(" vs. ", Y66)+4, 100))</f>
        <v/>
      </c>
      <c r="AB66">
        <f>IF(Q66 &gt; VALUE(AC66), "O " &amp; AC66, IF(Q66 &lt; VALUE(AC66), "U " &amp; AC66, AC66))</f>
        <v/>
      </c>
      <c r="AC66" s="15">
        <f>IF(OR(O66="-", P66="-"), "-", MROUND(O66 + P66, 0.5))</f>
        <v/>
      </c>
      <c r="AD66" s="15">
        <f>VALUE(TRIM(RIGHT(AF66, LEN(AF66) - FIND(" ", AF66))))</f>
        <v/>
      </c>
      <c r="AE66" s="15">
        <f>LEFT(AF66,FIND(" ",AF66)-1)</f>
        <v/>
      </c>
      <c r="AF66" s="15">
        <f>IF(OR(O66="-", P66="-"), "-",
    IF(MROUND(ABS(O66-P66),0.5)&lt;=0.5,
        IF(O66&gt;P66, B66 &amp; " ML", H66 &amp; " ML"),
        IF(MROUND(ABS(O66-P66),0.5)=1,
            IF(O66&gt;P66, H66 &amp; " +1.5", B66 &amp; " +1.5"),
            IF(O66&gt;P66, B66 &amp; " -1.5", H66 &amp; " -1.5")
        )
    )
)</f>
        <v/>
      </c>
      <c r="AG66" s="15">
        <f>_xlfn.LET(
    _xlpm.winA, O66^1.83 / (O66^1.83 + P66^1.83),
    _xlpm.winB, 1 - _xlpm.winA,
    _xlpm.oddsA, IF(_xlpm.winA &gt;= 0.5, "-" &amp; ROUND(_xlpm.winA / (1 - _xlpm.winA) * 100, 0), "+" &amp; ROUND((1 - _xlpm.winA) / _xlpm.winA * 100, 0)),
    _xlpm.oddsB, IF(_xlpm.winB &gt;= 0.5, "-" &amp; ROUND(_xlpm.winB / (1 - _xlpm.winB) * 100, 0), "+" &amp; ROUND((1 - _xlpm.winB) / _xlpm.winB * 100, 0)),
    _xlpm.oddsA &amp; " / " &amp; _xlpm.oddsB
)</f>
        <v/>
      </c>
    </row>
    <row r="67">
      <c r="A67" s="14" t="n">
        <v>46112</v>
      </c>
      <c r="B67" s="15" t="inlineStr">
        <is>
          <t>WHITE SOX</t>
        </is>
      </c>
      <c r="C67">
        <f>VLOOKUP(B67, 'MLB Data'!$B$5:$D$34, 3, FALSE)</f>
        <v/>
      </c>
      <c r="D67" s="16" t="inlineStr">
        <is>
          <t>FEDDE</t>
        </is>
      </c>
      <c r="E67" s="17" t="n">
        <v>5.39</v>
      </c>
      <c r="F67" s="17">
        <f>VLOOKUP(B67, 'MLB Data'!$F$2:$H$34, 3, FALSE)</f>
        <v/>
      </c>
      <c r="G67" s="19">
        <f>IF((E67*0.6+F67*0.4)&lt;2.5, 2.8, IF((E67*0.6+F67*0.4)&gt;5.5, 5.2, (E67*0.6+F67*0.4)))</f>
        <v/>
      </c>
      <c r="H67" s="15" t="inlineStr">
        <is>
          <t>MARLINS</t>
        </is>
      </c>
      <c r="I67">
        <f>VLOOKUP(H67, 'MLB Data'!$B$5:$D$34, 3, FALSE)</f>
        <v/>
      </c>
      <c r="J67" s="16" t="inlineStr">
        <is>
          <t>JUNK</t>
        </is>
      </c>
      <c r="K67" s="17" t="n">
        <v>4.34</v>
      </c>
      <c r="L67" s="17">
        <f>VLOOKUP(H67, 'MLB Data'!$F$2:$H$34, 3, FALSE)</f>
        <v/>
      </c>
      <c r="M67" s="17">
        <f>IF((K67*0.6+L67*0.4)&lt;2.5, 2.8, IF((K67*0.6+L67*0.4)&gt;5.5, 5.2, (K67*0.6+L67*0.4)))</f>
        <v/>
      </c>
      <c r="O67" s="18">
        <f>(C67/100) * 4.45 * (M67 / 4.2) * T67</f>
        <v/>
      </c>
      <c r="P67" s="18">
        <f>(I67/100) * 4.45 * (G67 / 4.2) * T67</f>
        <v/>
      </c>
      <c r="Q67" s="18">
        <f>(O67+P67)</f>
        <v/>
      </c>
      <c r="S67" s="15">
        <f>H67</f>
        <v/>
      </c>
      <c r="T67" s="19">
        <f>IF(S67="ROCKIES",1.13,IF(S67="ATHLETICS",1.03,IF(S67="ROYALS",1.03,IF(S67="TWINS",1,IF(S67="TIGERS",1,IF(S67="MARLINS",1.01,IF(S67="REDS",1.05,IF(S67="RED SOX",1.04,IF(S67="YANKEES",1.02,IF(S67="DODGERS",0.99,IF(S67="PADRES",0.96,IF(S67="CUBS",0.98,IF(S67="GIANTS",0.97,IF(S67="MARINERS",0.94,IF(S67="RANGERS",1,IF(S67="ASTROS",0.99,IF(S67="BRAVES",1,IF(S67="METS",0.96,IF(S67="PHILLIES",1.02,IF(S67="BLUE JAYS",1.01,IF(S67="ORIOLES",0.99,IF(S67="RAYS",1.01,IF(S67="GUARDIANS",0.99,IF(S67="WHITE SOX",0.98,IF(S67="ANGELS",1.01,IF(S67="D-BACKS",1.01,IF(S67="BREWERS",0.99,IF(S67="CARDINALS",0.96,IF(S67="PIRATES",1.02,IF(S67="NATIONALS",1,1))))))))))))))))))))))))))))))*IF(W67="",1,(1+((W67-70)/10*0.035)))*IF(U67="DOME",1,IF(U67="IN",1-(V67*0.01),IF(U67="OUT",1+(V67*0.01),IF(OR(U67="L-R",U67="R-L"),1+(V67*0.005),1))))</f>
        <v/>
      </c>
      <c r="U67" s="15" t="inlineStr">
        <is>
          <t>DOME</t>
        </is>
      </c>
      <c r="V67" s="15" t="n"/>
      <c r="W67" s="15" t="n"/>
      <c r="Y67">
        <f>B67 &amp; " vs. " &amp; H67</f>
        <v/>
      </c>
      <c r="Z67">
        <f>TRIM(LEFT(Y67, FIND("vs.", Y67)-1))</f>
        <v/>
      </c>
      <c r="AA67">
        <f>TRIM(MID(Y67, FIND(" vs. ", Y67)+4, 100))</f>
        <v/>
      </c>
      <c r="AB67">
        <f>IF(Q67 &gt; VALUE(AC67), "O " &amp; AC67, IF(Q67 &lt; VALUE(AC67), "U " &amp; AC67, AC67))</f>
        <v/>
      </c>
      <c r="AC67" s="15">
        <f>IF(OR(O67="-", P67="-"), "-", MROUND(O67 + P67, 0.5))</f>
        <v/>
      </c>
      <c r="AD67" s="15">
        <f>VALUE(TRIM(RIGHT(AF67, LEN(AF67) - FIND(" ", AF67))))</f>
        <v/>
      </c>
      <c r="AE67" s="15">
        <f>LEFT(AF67,FIND(" ",AF67)-1)</f>
        <v/>
      </c>
      <c r="AF67" s="15">
        <f>IF(OR(O67="-", P67="-"), "-",
IF(MROUND(ABS(O67-P67),0.5)&lt;=0.5,
IF(O67&gt;P67, B67 &amp; " ML", H67 &amp; " ML"),
IF(MROUND(ABS(O67-P67),0.5)=1,
IF(O67&gt;P67, H67 &amp; " +1.5", B67 &amp; " +1.5"),
IF(O67&gt;P67, B67 &amp; " -1.5", H67 &amp; " -1.5")
)
)
)</f>
        <v/>
      </c>
      <c r="AG67" s="15">
        <f>_xlfn.LET(
_xlpm.winA, O67^1.83 / (O67^1.83 + P67^1.83),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68">
      <c r="A68" s="14" t="n">
        <v>46112</v>
      </c>
      <c r="B68" s="15" t="inlineStr">
        <is>
          <t>ROCKIES</t>
        </is>
      </c>
      <c r="C68">
        <f>VLOOKUP(B68, 'MLB Data'!$B$5:$D$34, 3, FALSE)</f>
        <v/>
      </c>
      <c r="D68" s="16" t="inlineStr">
        <is>
          <t>FELTNER</t>
        </is>
      </c>
      <c r="E68" s="17" t="n">
        <v>4.5</v>
      </c>
      <c r="F68" s="17">
        <f>VLOOKUP(B68, 'MLB Data'!$F$2:$H$34, 3, FALSE)</f>
        <v/>
      </c>
      <c r="G68" s="19">
        <f>IF((E68*0.6+F68*0.4)&lt;2.5, 2.8, IF((E68*0.6+F68*0.4)&gt;5.5, 5.2, (E68*0.6+F68*0.4)))</f>
        <v/>
      </c>
      <c r="H68" s="15" t="inlineStr">
        <is>
          <t>BLUE JAYS</t>
        </is>
      </c>
      <c r="I68">
        <f>VLOOKUP(H68, 'MLB Data'!$B$5:$D$34, 3, FALSE)</f>
        <v/>
      </c>
      <c r="J68" s="16" t="inlineStr">
        <is>
          <t>SCHERZER</t>
        </is>
      </c>
      <c r="K68" s="17" t="n">
        <v>4.55</v>
      </c>
      <c r="L68" s="17">
        <f>VLOOKUP(H68, 'MLB Data'!$F$2:$H$34, 3, FALSE)</f>
        <v/>
      </c>
      <c r="M68" s="17">
        <f>IF((K68*0.6+L68*0.4)&lt;2.5, 2.8, IF((K68*0.6+L68*0.4)&gt;5.5, 5.2, (K68*0.6+L68*0.4)))</f>
        <v/>
      </c>
      <c r="O68" s="18">
        <f>(C68/100) * 4.45 * (M68 / 4.2) * T68</f>
        <v/>
      </c>
      <c r="P68" s="18">
        <f>(I68/100) * 4.45 * (G68 / 4.2) * T68</f>
        <v/>
      </c>
      <c r="Q68" s="18">
        <f>(O68+P68)</f>
        <v/>
      </c>
      <c r="S68" s="15">
        <f>H68</f>
        <v/>
      </c>
      <c r="T68" s="19">
        <f>IF(S68="ROCKIES",1.13,IF(S68="ATHLETICS",1.03,IF(S68="ROYALS",1.03,IF(S68="TWINS",1,IF(S68="TIGERS",1,IF(S68="MARLINS",1.01,IF(S68="REDS",1.05,IF(S68="RED SOX",1.04,IF(S68="YANKEES",1.02,IF(S68="DODGERS",0.99,IF(S68="PADRES",0.96,IF(S68="CUBS",0.98,IF(S68="GIANTS",0.97,IF(S68="MARINERS",0.94,IF(S68="RANGERS",1,IF(S68="ASTROS",0.99,IF(S68="BRAVES",1,IF(S68="METS",0.96,IF(S68="PHILLIES",1.02,IF(S68="BLUE JAYS",1.01,IF(S68="ORIOLES",0.99,IF(S68="RAYS",1.01,IF(S68="GUARDIANS",0.99,IF(S68="WHITE SOX",0.98,IF(S68="ANGELS",1.01,IF(S68="D-BACKS",1.01,IF(S68="BREWERS",0.99,IF(S68="CARDINALS",0.96,IF(S68="PIRATES",1.02,IF(S68="NATIONALS",1,1))))))))))))))))))))))))))))))*IF(W68="",1,(1+((W68-70)/10*0.035)))*IF(U68="DOME",1,IF(U68="IN",1-(V68*0.01),IF(U68="OUT",1+(V68*0.01),IF(OR(U68="L-R",U68="R-L"),1+(V68*0.005),1))))</f>
        <v/>
      </c>
      <c r="U68" s="15" t="inlineStr">
        <is>
          <t>DOME</t>
        </is>
      </c>
      <c r="V68" s="15" t="n"/>
      <c r="W68" s="15" t="n"/>
      <c r="Y68">
        <f>B68 &amp; " vs. " &amp; H68</f>
        <v/>
      </c>
      <c r="Z68">
        <f>TRIM(LEFT(Y68, FIND("vs.", Y68)-1))</f>
        <v/>
      </c>
      <c r="AA68">
        <f>TRIM(MID(Y68, FIND(" vs. ", Y68)+4, 100))</f>
        <v/>
      </c>
      <c r="AB68">
        <f>IF(Q68 &gt; VALUE(AC68), "O " &amp; AC68, IF(Q68 &lt; VALUE(AC68), "U " &amp; AC68, AC68))</f>
        <v/>
      </c>
      <c r="AC68" s="15">
        <f>IF(OR(O68="-", P68="-"), "-", MROUND(O68 + P68, 0.5))</f>
        <v/>
      </c>
      <c r="AD68" s="15">
        <f>VALUE(TRIM(RIGHT(AF68, LEN(AF68) - FIND(" ", AF68))))</f>
        <v/>
      </c>
      <c r="AE68" s="15">
        <f>LEFT(AF68,FIND(" ",AF68)-1)</f>
        <v/>
      </c>
      <c r="AF68" s="15">
        <f>IF(OR(O68="-", P68="-"), "-",
IF(MROUND(ABS(O68-P68),0.5)&lt;=0.5,
IF(O68&gt;P68, B68 &amp; " ML", H68 &amp; " ML"),
IF(MROUND(ABS(O68-P68),0.5)=1,
IF(O68&gt;P68, H68 &amp; " +1.5", B68 &amp; " +1.5"),
IF(O68&gt;P68, B68 &amp; " -1.5", H68 &amp; " -1.5")
)
)
)</f>
        <v/>
      </c>
      <c r="AG68" s="15">
        <f>_xlfn.LET(
_xlpm.winA, O68^1.83 / (O68^1.83 + P68^1.83),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69">
      <c r="A69" s="14" t="n">
        <v>46112</v>
      </c>
      <c r="B69" s="15" t="inlineStr">
        <is>
          <t>ATHLETICS</t>
        </is>
      </c>
      <c r="C69">
        <f>VLOOKUP(B69, 'MLB Data'!$B$5:$D$34, 3, FALSE)</f>
        <v/>
      </c>
      <c r="D69" s="16" t="inlineStr">
        <is>
          <t>CIVALE</t>
        </is>
      </c>
      <c r="E69" s="17" t="n">
        <v>4.94</v>
      </c>
      <c r="F69" s="17">
        <f>VLOOKUP(B69, 'MLB Data'!$F$2:$H$34, 3, FALSE)</f>
        <v/>
      </c>
      <c r="G69" s="19">
        <f>IF((E69*0.6+F69*0.4)&lt;2.5, 2.8, IF((E69*0.6+F69*0.4)&gt;5.5, 5.2, (E69*0.6+F69*0.4)))</f>
        <v/>
      </c>
      <c r="H69" s="15" t="inlineStr">
        <is>
          <t>BRAVES</t>
        </is>
      </c>
      <c r="I69">
        <f>VLOOKUP(H69, 'MLB Data'!$B$5:$D$34, 3, FALSE)</f>
        <v/>
      </c>
      <c r="J69" s="16" t="inlineStr">
        <is>
          <t>J. SUAREZ</t>
        </is>
      </c>
      <c r="K69" s="17" t="n">
        <v>2.52</v>
      </c>
      <c r="L69" s="17">
        <f>VLOOKUP(H69, 'MLB Data'!$F$2:$H$34, 3, FALSE)</f>
        <v/>
      </c>
      <c r="M69" s="17">
        <f>IF((K69*0.6+L69*0.4)&lt;2.5, 2.8, IF((K69*0.6+L69*0.4)&gt;5.5, 5.2, (K69*0.6+L69*0.4)))</f>
        <v/>
      </c>
      <c r="O69" s="18">
        <f>(C69/100) * 4.45 * (M69 / 4.2) * T69</f>
        <v/>
      </c>
      <c r="P69" s="18">
        <f>(I69/100) * 4.45 * (G69 / 4.2) * T69</f>
        <v/>
      </c>
      <c r="Q69" s="18">
        <f>(O69+P69)</f>
        <v/>
      </c>
      <c r="S69" s="15">
        <f>H69</f>
        <v/>
      </c>
      <c r="T69" s="19">
        <f>IF(S69="ROCKIES",1.13,IF(S69="ATHLETICS",1.03,IF(S69="ROYALS",1.03,IF(S69="TWINS",1,IF(S69="TIGERS",1,IF(S69="MARLINS",1.01,IF(S69="REDS",1.05,IF(S69="RED SOX",1.04,IF(S69="YANKEES",1.02,IF(S69="DODGERS",0.99,IF(S69="PADRES",0.96,IF(S69="CUBS",0.98,IF(S69="GIANTS",0.97,IF(S69="MARINERS",0.94,IF(S69="RANGERS",1,IF(S69="ASTROS",0.99,IF(S69="BRAVES",1,IF(S69="METS",0.96,IF(S69="PHILLIES",1.02,IF(S69="BLUE JAYS",1.01,IF(S69="ORIOLES",0.99,IF(S69="RAYS",1.01,IF(S69="GUARDIANS",0.99,IF(S69="WHITE SOX",0.98,IF(S69="ANGELS",1.01,IF(S69="D-BACKS",1.01,IF(S69="BREWERS",0.99,IF(S69="CARDINALS",0.96,IF(S69="PIRATES",1.02,IF(S69="NATIONALS",1,1))))))))))))))))))))))))))))))*IF(W69="",1,(1+((W69-70)/10*0.035)))*IF(U69="DOME",1,IF(U69="IN",1-(V69*0.01),IF(U69="OUT",1+(V69*0.01),IF(OR(U69="L-R",U69="R-L"),1+(V69*0.005),1))))</f>
        <v/>
      </c>
      <c r="U69" s="15" t="inlineStr">
        <is>
          <t>OUT</t>
        </is>
      </c>
      <c r="V69" s="15" t="n"/>
      <c r="W69" s="15" t="n">
        <v>79</v>
      </c>
      <c r="Y69">
        <f>B69 &amp; " vs. " &amp; H69</f>
        <v/>
      </c>
      <c r="Z69">
        <f>TRIM(LEFT(Y69, FIND("vs.", Y69)-1))</f>
        <v/>
      </c>
      <c r="AA69">
        <f>TRIM(MID(Y69, FIND(" vs. ", Y69)+4, 100))</f>
        <v/>
      </c>
      <c r="AB69">
        <f>IF(Q69 &gt; VALUE(AC69), "O " &amp; AC69, IF(Q69 &lt; VALUE(AC69), "U " &amp; AC69, AC69))</f>
        <v/>
      </c>
      <c r="AC69" s="15">
        <f>IF(OR(O69="-", P69="-"), "-", MROUND(O69 + P69, 0.5))</f>
        <v/>
      </c>
      <c r="AD69" s="15">
        <f>VALUE(TRIM(RIGHT(AF69, LEN(AF69) - FIND(" ", AF69))))</f>
        <v/>
      </c>
      <c r="AE69" s="15">
        <f>LEFT(AF69,FIND(" ",AF69)-1)</f>
        <v/>
      </c>
      <c r="AF69" s="15">
        <f>IF(OR(O69="-", P69="-"), "-",
IF(MROUND(ABS(O69-P69),0.5)&lt;=0.5,
IF(O69&gt;P69, B69 &amp; " ML", H69 &amp; " ML"),
IF(MROUND(ABS(O69-P69),0.5)=1,
IF(O69&gt;P69, H69 &amp; " +1.5", B69 &amp; " +1.5"),
IF(O69&gt;P69, B69 &amp; " -1.5", H69 &amp; " -1.5")
)
)
)</f>
        <v/>
      </c>
      <c r="AG69" s="15">
        <f>_xlfn.LET(
_xlpm.winA, O69^1.83 / (O69^1.83 + P69^1.83),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70">
      <c r="A70" s="14" t="n">
        <v>46112</v>
      </c>
      <c r="B70" s="15" t="inlineStr">
        <is>
          <t>ANGELS</t>
        </is>
      </c>
      <c r="C70">
        <f>VLOOKUP(B70, 'MLB Data'!$B$5:$D$34, 3, FALSE)</f>
        <v/>
      </c>
      <c r="D70" s="16" t="inlineStr">
        <is>
          <t>SORIANO</t>
        </is>
      </c>
      <c r="E70" s="17" t="n">
        <v>3.37</v>
      </c>
      <c r="F70" s="17">
        <f>VLOOKUP(B70, 'MLB Data'!$F$2:$H$34, 3, FALSE)</f>
        <v/>
      </c>
      <c r="G70" s="19">
        <f>IF((E70*0.6+F70*0.4)&lt;2.5, 2.8, IF((E70*0.6+F70*0.4)&gt;5.5, 5.2, (E70*0.6+F70*0.4)))</f>
        <v/>
      </c>
      <c r="H70" s="15" t="inlineStr">
        <is>
          <t>CUBS</t>
        </is>
      </c>
      <c r="I70">
        <f>VLOOKUP(H70, 'MLB Data'!$B$5:$D$34, 3, FALSE)</f>
        <v/>
      </c>
      <c r="J70" s="16" t="inlineStr">
        <is>
          <t>TAILLON</t>
        </is>
      </c>
      <c r="K70" s="17" t="n">
        <v>4.34</v>
      </c>
      <c r="L70" s="17">
        <f>VLOOKUP(H70, 'MLB Data'!$F$2:$H$34, 3, FALSE)</f>
        <v/>
      </c>
      <c r="M70" s="17">
        <f>IF((K70*0.6+L70*0.4)&lt;2.5, 2.8, IF((K70*0.6+L70*0.4)&gt;5.5, 5.2, (K70*0.6+L70*0.4)))</f>
        <v/>
      </c>
      <c r="O70" s="18">
        <f>(C70/100) * 4.45 * (M70 / 4.2) * T70</f>
        <v/>
      </c>
      <c r="P70" s="18">
        <f>(I70/100) * 4.45 * (G70 / 4.2) * T70</f>
        <v/>
      </c>
      <c r="Q70" s="18">
        <f>(O70+P70)</f>
        <v/>
      </c>
      <c r="S70" s="15">
        <f>H70</f>
        <v/>
      </c>
      <c r="T70" s="19">
        <f>IF(S70="ROCKIES",1.13,IF(S70="ATHLETICS",1.03,IF(S70="ROYALS",1.03,IF(S70="TWINS",1,IF(S70="TIGERS",1,IF(S70="MARLINS",1.01,IF(S70="REDS",1.05,IF(S70="RED SOX",1.04,IF(S70="YANKEES",1.02,IF(S70="DODGERS",0.99,IF(S70="PADRES",0.96,IF(S70="CUBS",0.98,IF(S70="GIANTS",0.97,IF(S70="MARINERS",0.94,IF(S70="RANGERS",1,IF(S70="ASTROS",0.99,IF(S70="BRAVES",1,IF(S70="METS",0.96,IF(S70="PHILLIES",1.02,IF(S70="BLUE JAYS",1.01,IF(S70="ORIOLES",0.99,IF(S70="RAYS",1.01,IF(S70="GUARDIANS",0.99,IF(S70="WHITE SOX",0.98,IF(S70="ANGELS",1.01,IF(S70="D-BACKS",1.01,IF(S70="BREWERS",0.99,IF(S70="CARDINALS",0.96,IF(S70="PIRATES",1.02,IF(S70="NATIONALS",1,1))))))))))))))))))))))))))))))*IF(W70="",1,(1+((W70-70)/10*0.035)))*IF(U70="DOME",1,IF(U70="IN",1-(V70*0.01),IF(U70="OUT",1+(V70*0.01),IF(OR(U70="L-R",U70="R-L"),1+(V70*0.005),1))))</f>
        <v/>
      </c>
      <c r="U70" s="15" t="inlineStr">
        <is>
          <t>IN</t>
        </is>
      </c>
      <c r="V70" s="15" t="n"/>
      <c r="W70" s="15" t="n">
        <v>46</v>
      </c>
      <c r="Y70">
        <f>B70 &amp; " vs. " &amp; H70</f>
        <v/>
      </c>
      <c r="Z70">
        <f>TRIM(LEFT(Y70, FIND("vs.", Y70)-1))</f>
        <v/>
      </c>
      <c r="AA70">
        <f>TRIM(MID(Y70, FIND(" vs. ", Y70)+4, 100))</f>
        <v/>
      </c>
      <c r="AB70">
        <f>IF(Q70 &gt; VALUE(AC70), "O " &amp; AC70, IF(Q70 &lt; VALUE(AC70), "U " &amp; AC70, AC70))</f>
        <v/>
      </c>
      <c r="AC70" s="15">
        <f>IF(OR(O70="-", P70="-"), "-", MROUND(O70 + P70, 0.5))</f>
        <v/>
      </c>
      <c r="AD70" s="15">
        <f>VALUE(TRIM(RIGHT(AF70, LEN(AF70) - FIND(" ", AF70))))</f>
        <v/>
      </c>
      <c r="AE70" s="15">
        <f>LEFT(AF70,FIND(" ",AF70)-1)</f>
        <v/>
      </c>
      <c r="AF70" s="15">
        <f>IF(OR(O70="-", P70="-"), "-",
IF(MROUND(ABS(O70-P70),0.5)&lt;=0.5,
IF(O70&gt;P70, B70 &amp; " ML", H70 &amp; " ML"),
IF(MROUND(ABS(O70-P70),0.5)=1,
IF(O70&gt;P70, H70 &amp; " +1.5", B70 &amp; " +1.5"),
IF(O70&gt;P70, B70 &amp; " -1.5", H70 &amp; " -1.5")
)
)
)</f>
        <v/>
      </c>
      <c r="AG70" s="15">
        <f>_xlfn.LET(
_xlpm.winA, O70^1.83 / (O70^1.83 + P70^1.83),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71">
      <c r="A71" s="14" t="n">
        <v>46112</v>
      </c>
      <c r="B71" s="15" t="inlineStr">
        <is>
          <t>RAYS</t>
        </is>
      </c>
      <c r="C71">
        <f>VLOOKUP(B71, 'MLB Data'!$B$5:$D$34, 3, FALSE)</f>
        <v/>
      </c>
      <c r="D71" s="16" t="inlineStr">
        <is>
          <t>MCLANAHAN</t>
        </is>
      </c>
      <c r="E71" s="17" t="n">
        <v>3.84</v>
      </c>
      <c r="F71" s="17">
        <f>VLOOKUP(B71, 'MLB Data'!$F$2:$H$34, 3, FALSE)</f>
        <v/>
      </c>
      <c r="G71" s="19">
        <f>IF((E71*0.6+F71*0.4)&lt;2.5, 2.8, IF((E71*0.6+F71*0.4)&gt;5.5, 5.2, (E71*0.6+F71*0.4)))</f>
        <v/>
      </c>
      <c r="H71" s="15" t="inlineStr">
        <is>
          <t>BREWERS</t>
        </is>
      </c>
      <c r="I71">
        <f>VLOOKUP(H71, 'MLB Data'!$B$5:$D$34, 3, FALSE)</f>
        <v/>
      </c>
      <c r="J71" s="16" t="inlineStr">
        <is>
          <t>WOODRUFF</t>
        </is>
      </c>
      <c r="K71" s="17" t="n">
        <v>3.24</v>
      </c>
      <c r="L71" s="17">
        <f>VLOOKUP(H71, 'MLB Data'!$F$2:$H$34, 3, FALSE)</f>
        <v/>
      </c>
      <c r="M71" s="17">
        <f>IF((K71*0.6+L71*0.4)&lt;2.5, 2.8, IF((K71*0.6+L71*0.4)&gt;5.5, 5.2, (K71*0.6+L71*0.4)))</f>
        <v/>
      </c>
      <c r="O71" s="18">
        <f>(C71/100) * 4.45 * (M71 / 4.2) * T71</f>
        <v/>
      </c>
      <c r="P71" s="18">
        <f>(I71/100) * 4.45 * (G71 / 4.2) * T71</f>
        <v/>
      </c>
      <c r="Q71" s="18">
        <f>(O71+P71)</f>
        <v/>
      </c>
      <c r="S71" s="15">
        <f>H71</f>
        <v/>
      </c>
      <c r="T71" s="19">
        <f>IF(S71="ROCKIES",1.13,IF(S71="ATHLETICS",1.03,IF(S71="ROYALS",1.03,IF(S71="TWINS",1,IF(S71="TIGERS",1,IF(S71="MARLINS",1.01,IF(S71="REDS",1.05,IF(S71="RED SOX",1.04,IF(S71="YANKEES",1.02,IF(S71="DODGERS",0.99,IF(S71="PADRES",0.96,IF(S71="CUBS",0.98,IF(S71="GIANTS",0.97,IF(S71="MARINERS",0.94,IF(S71="RANGERS",1,IF(S71="ASTROS",0.99,IF(S71="BRAVES",1,IF(S71="METS",0.96,IF(S71="PHILLIES",1.02,IF(S71="BLUE JAYS",1.01,IF(S71="ORIOLES",0.99,IF(S71="RAYS",1.01,IF(S71="GUARDIANS",0.99,IF(S71="WHITE SOX",0.98,IF(S71="ANGELS",1.01,IF(S71="D-BACKS",1.01,IF(S71="BREWERS",0.99,IF(S71="CARDINALS",0.96,IF(S71="PIRATES",1.02,IF(S71="NATIONALS",1,1))))))))))))))))))))))))))))))*IF(W71="",1,(1+((W71-70)/10*0.035)))*IF(U71="DOME",1,IF(U71="IN",1-(V71*0.01),IF(U71="OUT",1+(V71*0.01),IF(OR(U71="L-R",U71="R-L"),1+(V71*0.005),1))))</f>
        <v/>
      </c>
      <c r="U71" s="15" t="inlineStr">
        <is>
          <t>DOME</t>
        </is>
      </c>
      <c r="V71" s="15" t="n"/>
      <c r="W71" s="15" t="n"/>
      <c r="Y71">
        <f>B71 &amp; " vs. " &amp; H71</f>
        <v/>
      </c>
      <c r="Z71">
        <f>TRIM(LEFT(Y71, FIND("vs.", Y71)-1))</f>
        <v/>
      </c>
      <c r="AA71">
        <f>TRIM(MID(Y71, FIND(" vs. ", Y71)+4, 100))</f>
        <v/>
      </c>
      <c r="AB71">
        <f>IF(Q71 &gt; VALUE(AC71), "O " &amp; AC71, IF(Q71 &lt; VALUE(AC71), "U " &amp; AC71, AC71))</f>
        <v/>
      </c>
      <c r="AC71" s="15">
        <f>IF(OR(O71="-", P71="-"), "-", MROUND(O71 + P71, 0.5))</f>
        <v/>
      </c>
      <c r="AD71" s="15">
        <f>VALUE(TRIM(RIGHT(AF71, LEN(AF71) - FIND(" ", AF71))))</f>
        <v/>
      </c>
      <c r="AE71" s="15">
        <f>LEFT(AF71,FIND(" ",AF71)-1)</f>
        <v/>
      </c>
      <c r="AF71" s="15">
        <f>IF(OR(O71="-", P71="-"), "-",
IF(MROUND(ABS(O71-P71),0.5)&lt;=0.5,
IF(O71&gt;P71, B71 &amp; " ML", H71 &amp; " ML"),
IF(MROUND(ABS(O71-P71),0.5)=1,
IF(O71&gt;P71, H71 &amp; " +1.5", B71 &amp; " +1.5"),
IF(O71&gt;P71, B71 &amp; " -1.5", H71 &amp; " -1.5")
)
)
)</f>
        <v/>
      </c>
      <c r="AG71" s="15">
        <f>_xlfn.LET(
_xlpm.winA, O71^1.83 / (O71^1.83 + P71^1.83),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72">
      <c r="A72" s="14" t="n">
        <v>46112</v>
      </c>
      <c r="B72" s="15" t="inlineStr">
        <is>
          <t>METS</t>
        </is>
      </c>
      <c r="C72">
        <f>VLOOKUP(B72, 'MLB Data'!$B$5:$D$34, 3, FALSE)</f>
        <v/>
      </c>
      <c r="D72" s="16" t="inlineStr">
        <is>
          <t>SENGA</t>
        </is>
      </c>
      <c r="E72" s="17" t="n">
        <v>4.35</v>
      </c>
      <c r="F72" s="17">
        <f>VLOOKUP(B72, 'MLB Data'!$F$2:$H$34, 3, FALSE)</f>
        <v/>
      </c>
      <c r="G72" s="19">
        <f>IF((E72*0.6+F72*0.4)&lt;2.5, 2.8, IF((E72*0.6+F72*0.4)&gt;5.5, 5.2, (E72*0.6+F72*0.4)))</f>
        <v/>
      </c>
      <c r="H72" s="15" t="inlineStr">
        <is>
          <t>CARDINALS</t>
        </is>
      </c>
      <c r="I72">
        <f>VLOOKUP(H72, 'MLB Data'!$B$5:$D$34, 3, FALSE)</f>
        <v/>
      </c>
      <c r="J72" s="16" t="inlineStr">
        <is>
          <t>PALLANTE</t>
        </is>
      </c>
      <c r="K72" s="17" t="n">
        <v>4.16</v>
      </c>
      <c r="L72" s="17">
        <f>VLOOKUP(H72, 'MLB Data'!$F$2:$H$34, 3, FALSE)</f>
        <v/>
      </c>
      <c r="M72" s="17">
        <f>IF((K72*0.6+L72*0.4)&lt;2.5, 2.8, IF((K72*0.6+L72*0.4)&gt;5.5, 5.2, (K72*0.6+L72*0.4)))</f>
        <v/>
      </c>
      <c r="O72" s="18">
        <f>(C72/100) * 4.45 * (M72 / 4.2) * T72</f>
        <v/>
      </c>
      <c r="P72" s="18">
        <f>(I72/100) * 4.45 * (G72 / 4.2) * T72</f>
        <v/>
      </c>
      <c r="Q72" s="18">
        <f>(O72+P72)</f>
        <v/>
      </c>
      <c r="S72" s="15">
        <f>H72</f>
        <v/>
      </c>
      <c r="T72" s="19">
        <f>IF(S72="ROCKIES",1.13,IF(S72="ATHLETICS",1.03,IF(S72="ROYALS",1.03,IF(S72="TWINS",1,IF(S72="TIGERS",1,IF(S72="MARLINS",1.01,IF(S72="REDS",1.05,IF(S72="RED SOX",1.04,IF(S72="YANKEES",1.02,IF(S72="DODGERS",0.99,IF(S72="PADRES",0.96,IF(S72="CUBS",0.98,IF(S72="GIANTS",0.97,IF(S72="MARINERS",0.94,IF(S72="RANGERS",1,IF(S72="ASTROS",0.99,IF(S72="BRAVES",1,IF(S72="METS",0.96,IF(S72="PHILLIES",1.02,IF(S72="BLUE JAYS",1.01,IF(S72="ORIOLES",0.99,IF(S72="RAYS",1.01,IF(S72="GUARDIANS",0.99,IF(S72="WHITE SOX",0.98,IF(S72="ANGELS",1.01,IF(S72="D-BACKS",1.01,IF(S72="BREWERS",0.99,IF(S72="CARDINALS",0.96,IF(S72="PIRATES",1.02,IF(S72="NATIONALS",1,1))))))))))))))))))))))))))))))*IF(W72="",1,(1+((W72-70)/10*0.035)))*IF(U72="DOME",1,IF(U72="IN",1-(V72*0.01),IF(U72="OUT",1+(V72*0.01),IF(OR(U72="L-R",U72="R-L"),1+(V72*0.005),1))))</f>
        <v/>
      </c>
      <c r="U72" s="15" t="inlineStr">
        <is>
          <t>OUT</t>
        </is>
      </c>
      <c r="V72" s="15" t="n"/>
      <c r="W72" s="15" t="n">
        <v>84</v>
      </c>
      <c r="Y72">
        <f>B72 &amp; " vs. " &amp; H72</f>
        <v/>
      </c>
      <c r="Z72">
        <f>TRIM(LEFT(Y72, FIND("vs.", Y72)-1))</f>
        <v/>
      </c>
      <c r="AA72">
        <f>TRIM(MID(Y72, FIND(" vs. ", Y72)+4, 100))</f>
        <v/>
      </c>
      <c r="AB72">
        <f>IF(Q72 &gt; VALUE(AC72), "O " &amp; AC72, IF(Q72 &lt; VALUE(AC72), "U " &amp; AC72, AC72))</f>
        <v/>
      </c>
      <c r="AC72" s="15">
        <f>IF(OR(O72="-", P72="-"), "-", MROUND(O72 + P72, 0.5))</f>
        <v/>
      </c>
      <c r="AD72" s="15">
        <f>VALUE(TRIM(RIGHT(AF72, LEN(AF72) - FIND(" ", AF72))))</f>
        <v/>
      </c>
      <c r="AE72" s="15">
        <f>LEFT(AF72,FIND(" ",AF72)-1)</f>
        <v/>
      </c>
      <c r="AF72" s="15">
        <f>IF(OR(O72="-", P72="-"), "-",
IF(MROUND(ABS(O72-P72),0.5)&lt;=0.5,
IF(O72&gt;P72, B72 &amp; " ML", H72 &amp; " ML"),
IF(MROUND(ABS(O72-P72),0.5)=1,
IF(O72&gt;P72, H72 &amp; " +1.5", B72 &amp; " +1.5"),
IF(O72&gt;P72, B72 &amp; " -1.5", H72 &amp; " -1.5")
)
)
)</f>
        <v/>
      </c>
      <c r="AG72" s="15">
        <f>_xlfn.LET(
_xlpm.winA, O72^1.83 / (O72^1.83 + P72^1.83),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73">
      <c r="A73" s="14" t="n">
        <v>46112</v>
      </c>
      <c r="B73" s="15" t="inlineStr">
        <is>
          <t>RED SOX</t>
        </is>
      </c>
      <c r="C73">
        <f>VLOOKUP(B73, 'MLB Data'!$B$5:$D$34, 3, FALSE)</f>
        <v/>
      </c>
      <c r="D73" s="16" t="inlineStr">
        <is>
          <t>BELLO</t>
        </is>
      </c>
      <c r="E73" s="17" t="n">
        <v>4.38</v>
      </c>
      <c r="F73" s="17">
        <f>VLOOKUP(B73, 'MLB Data'!$F$2:$H$34, 3, FALSE)</f>
        <v/>
      </c>
      <c r="G73" s="19">
        <f>IF((E73*0.6+F73*0.4)&lt;2.5, 2.8, IF((E73*0.6+F73*0.4)&gt;5.5, 5.2, (E73*0.6+F73*0.4)))</f>
        <v/>
      </c>
      <c r="H73" s="15" t="inlineStr">
        <is>
          <t>ASTROS</t>
        </is>
      </c>
      <c r="I73">
        <f>VLOOKUP(H73, 'MLB Data'!$B$5:$D$34, 3, FALSE)</f>
        <v/>
      </c>
      <c r="J73" s="16" t="inlineStr">
        <is>
          <t>BROWN</t>
        </is>
      </c>
      <c r="K73" s="17" t="n">
        <v>2.24</v>
      </c>
      <c r="L73" s="17">
        <f>VLOOKUP(H73, 'MLB Data'!$F$2:$H$34, 3, FALSE)</f>
        <v/>
      </c>
      <c r="M73" s="17">
        <f>IF((K73*0.6+L73*0.4)&lt;2.5, 2.8, IF((K73*0.6+L73*0.4)&gt;5.5, 5.2, (K73*0.6+L73*0.4)))</f>
        <v/>
      </c>
      <c r="O73" s="18">
        <f>(C73/100) * 4.45 * (M73 / 4.2) * T73</f>
        <v/>
      </c>
      <c r="P73" s="18">
        <f>(I73/100) * 4.45 * (G73 / 4.2) * T73</f>
        <v/>
      </c>
      <c r="Q73" s="18">
        <f>(O73+P73)</f>
        <v/>
      </c>
      <c r="S73" s="15">
        <f>H73</f>
        <v/>
      </c>
      <c r="T73" s="19">
        <f>IF(S73="ROCKIES",1.13,IF(S73="ATHLETICS",1.03,IF(S73="ROYALS",1.03,IF(S73="TWINS",1,IF(S73="TIGERS",1,IF(S73="MARLINS",1.01,IF(S73="REDS",1.05,IF(S73="RED SOX",1.04,IF(S73="YANKEES",1.02,IF(S73="DODGERS",0.99,IF(S73="PADRES",0.96,IF(S73="CUBS",0.98,IF(S73="GIANTS",0.97,IF(S73="MARINERS",0.94,IF(S73="RANGERS",1,IF(S73="ASTROS",0.99,IF(S73="BRAVES",1,IF(S73="METS",0.96,IF(S73="PHILLIES",1.02,IF(S73="BLUE JAYS",1.01,IF(S73="ORIOLES",0.99,IF(S73="RAYS",1.01,IF(S73="GUARDIANS",0.99,IF(S73="WHITE SOX",0.98,IF(S73="ANGELS",1.01,IF(S73="D-BACKS",1.01,IF(S73="BREWERS",0.99,IF(S73="CARDINALS",0.96,IF(S73="PIRATES",1.02,IF(S73="NATIONALS",1,1))))))))))))))))))))))))))))))*IF(W73="",1,(1+((W73-70)/10*0.035)))*IF(U73="DOME",1,IF(U73="IN",1-(V73*0.01),IF(U73="OUT",1+(V73*0.01),IF(OR(U73="L-R",U73="R-L"),1+(V73*0.005),1))))</f>
        <v/>
      </c>
      <c r="U73" s="15" t="inlineStr">
        <is>
          <t>DOME</t>
        </is>
      </c>
      <c r="V73" s="15" t="n"/>
      <c r="W73" s="15" t="n"/>
      <c r="Y73">
        <f>B73 &amp; " vs. " &amp; H73</f>
        <v/>
      </c>
      <c r="Z73">
        <f>TRIM(LEFT(Y73, FIND("vs.", Y73)-1))</f>
        <v/>
      </c>
      <c r="AA73">
        <f>TRIM(MID(Y73, FIND(" vs. ", Y73)+4, 100))</f>
        <v/>
      </c>
      <c r="AB73">
        <f>IF(Q73 &gt; VALUE(AC73), "O " &amp; AC73, IF(Q73 &lt; VALUE(AC73), "U " &amp; AC73, AC73))</f>
        <v/>
      </c>
      <c r="AC73" s="15">
        <f>IF(OR(O73="-", P73="-"), "-", MROUND(O73 + P73, 0.5))</f>
        <v/>
      </c>
      <c r="AD73" s="15">
        <f>VALUE(TRIM(RIGHT(AF73, LEN(AF73) - FIND(" ", AF73))))</f>
        <v/>
      </c>
      <c r="AE73" s="15">
        <f>LEFT(AF73,FIND(" ",AF73)-1)</f>
        <v/>
      </c>
      <c r="AF73" s="15">
        <f>IF(OR(O73="-", P73="-"), "-",
IF(MROUND(ABS(O73-P73),0.5)&lt;=0.5,
IF(O73&gt;P73, B73 &amp; " ML", H73 &amp; " ML"),
IF(MROUND(ABS(O73-P73),0.5)=1,
IF(O73&gt;P73, H73 &amp; " +1.5", B73 &amp; " +1.5"),
IF(O73&gt;P73, B73 &amp; " -1.5", H73 &amp; " -1.5")
)
)
)</f>
        <v/>
      </c>
      <c r="AG73" s="15">
        <f>_xlfn.LET(
_xlpm.winA, O73^1.83 / (O73^1.83 + P73^1.83),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74">
      <c r="A74" s="14" t="n">
        <v>46112</v>
      </c>
      <c r="B74" s="15" t="inlineStr">
        <is>
          <t>TIGERS</t>
        </is>
      </c>
      <c r="C74">
        <f>VLOOKUP(B74, 'MLB Data'!$B$5:$D$34, 3, FALSE)</f>
        <v/>
      </c>
      <c r="D74" s="16" t="inlineStr">
        <is>
          <t>MIZE</t>
        </is>
      </c>
      <c r="E74" s="17" t="n">
        <v>3.97</v>
      </c>
      <c r="F74" s="17">
        <f>VLOOKUP(B74, 'MLB Data'!$F$2:$H$34, 3, FALSE)</f>
        <v/>
      </c>
      <c r="G74" s="19">
        <f>IF((E74*0.6+F74*0.4)&lt;2.5, 2.8, IF((E74*0.6+F74*0.4)&gt;5.5, 5.2, (E74*0.6+F74*0.4)))</f>
        <v/>
      </c>
      <c r="H74" s="15" t="inlineStr">
        <is>
          <t>D-BACKS</t>
        </is>
      </c>
      <c r="I74">
        <f>VLOOKUP(H74, 'MLB Data'!$B$5:$D$34, 3, FALSE)</f>
        <v/>
      </c>
      <c r="J74" s="16" t="inlineStr">
        <is>
          <t>PFAADT</t>
        </is>
      </c>
      <c r="K74" s="17" t="n">
        <v>4.01</v>
      </c>
      <c r="L74" s="17">
        <f>VLOOKUP(H74, 'MLB Data'!$F$2:$H$34, 3, FALSE)</f>
        <v/>
      </c>
      <c r="M74" s="17">
        <f>IF((K74*0.6+L74*0.4)&lt;2.5, 2.8, IF((K74*0.6+L74*0.4)&gt;5.5, 5.2, (K74*0.6+L74*0.4)))</f>
        <v/>
      </c>
      <c r="O74" s="18">
        <f>(C74/100) * 4.45 * (M74 / 4.2) * T74</f>
        <v/>
      </c>
      <c r="P74" s="18">
        <f>(I74/100) * 4.45 * (G74 / 4.2) * T74</f>
        <v/>
      </c>
      <c r="Q74" s="18">
        <f>(O74+P74)</f>
        <v/>
      </c>
      <c r="S74" s="15">
        <f>H74</f>
        <v/>
      </c>
      <c r="T74" s="19">
        <f>IF(S74="ROCKIES",1.13,IF(S74="ATHLETICS",1.03,IF(S74="ROYALS",1.03,IF(S74="TWINS",1,IF(S74="TIGERS",1,IF(S74="MARLINS",1.01,IF(S74="REDS",1.05,IF(S74="RED SOX",1.04,IF(S74="YANKEES",1.02,IF(S74="DODGERS",0.99,IF(S74="PADRES",0.96,IF(S74="CUBS",0.98,IF(S74="GIANTS",0.97,IF(S74="MARINERS",0.94,IF(S74="RANGERS",1,IF(S74="ASTROS",0.99,IF(S74="BRAVES",1,IF(S74="METS",0.96,IF(S74="PHILLIES",1.02,IF(S74="BLUE JAYS",1.01,IF(S74="ORIOLES",0.99,IF(S74="RAYS",1.01,IF(S74="GUARDIANS",0.99,IF(S74="WHITE SOX",0.98,IF(S74="ANGELS",1.01,IF(S74="D-BACKS",1.01,IF(S74="BREWERS",0.99,IF(S74="CARDINALS",0.96,IF(S74="PIRATES",1.02,IF(S74="NATIONALS",1,1))))))))))))))))))))))))))))))*IF(W74="",1,(1+((W74-70)/10*0.035)))*IF(U74="DOME",1,IF(U74="IN",1-(V74*0.01),IF(U74="OUT",1+(V74*0.01),IF(OR(U74="L-R",U74="R-L"),1+(V74*0.005),1))))</f>
        <v/>
      </c>
      <c r="U74" s="15" t="inlineStr">
        <is>
          <t>DOME</t>
        </is>
      </c>
      <c r="V74" s="15" t="n"/>
      <c r="W74" s="15" t="n"/>
      <c r="Y74">
        <f>B74 &amp; " vs. " &amp; H74</f>
        <v/>
      </c>
      <c r="Z74">
        <f>TRIM(LEFT(Y74, FIND("vs.", Y74)-1))</f>
        <v/>
      </c>
      <c r="AA74">
        <f>TRIM(MID(Y74, FIND(" vs. ", Y74)+4, 100))</f>
        <v/>
      </c>
      <c r="AB74">
        <f>IF(Q74 &gt; VALUE(AC74), "O " &amp; AC74, IF(Q74 &lt; VALUE(AC74), "U " &amp; AC74, AC74))</f>
        <v/>
      </c>
      <c r="AC74" s="15">
        <f>IF(OR(O74="-", P74="-"), "-", MROUND(O74 + P74, 0.5))</f>
        <v/>
      </c>
      <c r="AD74" s="15">
        <f>VALUE(TRIM(RIGHT(AF74, LEN(AF74) - FIND(" ", AF74))))</f>
        <v/>
      </c>
      <c r="AE74" s="15">
        <f>LEFT(AF74,FIND(" ",AF74)-1)</f>
        <v/>
      </c>
      <c r="AF74" s="15">
        <f>IF(OR(O74="-", P74="-"), "-",
IF(MROUND(ABS(O74-P74),0.5)&lt;=0.5,
IF(O74&gt;P74, B74 &amp; " ML", H74 &amp; " ML"),
IF(MROUND(ABS(O74-P74),0.5)=1,
IF(O74&gt;P74, H74 &amp; " +1.5", B74 &amp; " +1.5"),
IF(O74&gt;P74, B74 &amp; " -1.5", H74 &amp; " -1.5")
)
)
)</f>
        <v/>
      </c>
      <c r="AG74" s="15">
        <f>_xlfn.LET(
_xlpm.winA, O74^1.83 / (O74^1.83 + P74^1.83),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75">
      <c r="A75" s="14" t="n">
        <v>46112</v>
      </c>
      <c r="B75" s="15" t="inlineStr">
        <is>
          <t>GIANTS</t>
        </is>
      </c>
      <c r="C75">
        <f>VLOOKUP(B75, 'MLB Data'!$B$5:$D$34, 3, FALSE)</f>
        <v/>
      </c>
      <c r="D75" s="16" t="inlineStr">
        <is>
          <t>WEBB</t>
        </is>
      </c>
      <c r="E75" s="17" t="n">
        <v>2.79</v>
      </c>
      <c r="F75" s="17">
        <f>VLOOKUP(B75, 'MLB Data'!$F$2:$H$34, 3, FALSE)</f>
        <v/>
      </c>
      <c r="G75" s="19">
        <f>IF((E75*0.6+F75*0.4)&lt;2.5, 2.8, IF((E75*0.6+F75*0.4)&gt;5.5, 5.2, (E75*0.6+F75*0.4)))</f>
        <v/>
      </c>
      <c r="H75" s="15" t="inlineStr">
        <is>
          <t>PADRES</t>
        </is>
      </c>
      <c r="I75">
        <f>VLOOKUP(H75, 'MLB Data'!$B$5:$D$34, 3, FALSE)</f>
        <v/>
      </c>
      <c r="J75" s="16" t="inlineStr">
        <is>
          <t>MARQUEZ</t>
        </is>
      </c>
      <c r="K75" s="17" t="n">
        <v>5.35</v>
      </c>
      <c r="L75" s="17">
        <f>VLOOKUP(H75, 'MLB Data'!$F$2:$H$34, 3, FALSE)</f>
        <v/>
      </c>
      <c r="M75" s="17">
        <f>IF((K75*0.6+L75*0.4)&lt;2.5, 2.8, IF((K75*0.6+L75*0.4)&gt;5.5, 5.2, (K75*0.6+L75*0.4)))</f>
        <v/>
      </c>
      <c r="O75" s="18">
        <f>(C75/100) * 4.45 * (M75 / 4.2) * T75</f>
        <v/>
      </c>
      <c r="P75" s="18">
        <f>(I75/100) * 4.45 * (G75 / 4.2) * T75</f>
        <v/>
      </c>
      <c r="Q75" s="18">
        <f>(O75+P75)</f>
        <v/>
      </c>
      <c r="S75" s="15">
        <f>H75</f>
        <v/>
      </c>
      <c r="T75" s="19">
        <f>IF(S75="ROCKIES",1.13,IF(S75="ATHLETICS",1.03,IF(S75="ROYALS",1.03,IF(S75="TWINS",1,IF(S75="TIGERS",1,IF(S75="MARLINS",1.01,IF(S75="REDS",1.05,IF(S75="RED SOX",1.04,IF(S75="YANKEES",1.02,IF(S75="DODGERS",0.99,IF(S75="PADRES",0.96,IF(S75="CUBS",0.98,IF(S75="GIANTS",0.97,IF(S75="MARINERS",0.94,IF(S75="RANGERS",1,IF(S75="ASTROS",0.99,IF(S75="BRAVES",1,IF(S75="METS",0.96,IF(S75="PHILLIES",1.02,IF(S75="BLUE JAYS",1.01,IF(S75="ORIOLES",0.99,IF(S75="RAYS",1.01,IF(S75="GUARDIANS",0.99,IF(S75="WHITE SOX",0.98,IF(S75="ANGELS",1.01,IF(S75="D-BACKS",1.01,IF(S75="BREWERS",0.99,IF(S75="CARDINALS",0.96,IF(S75="PIRATES",1.02,IF(S75="NATIONALS",1,1))))))))))))))))))))))))))))))*IF(W75="",1,(1+((W75-70)/10*0.035)))*IF(U75="DOME",1,IF(U75="IN",1-(V75*0.01),IF(U75="OUT",1+(V75*0.01),IF(OR(U75="L-R",U75="R-L"),1+(V75*0.005),1))))</f>
        <v/>
      </c>
      <c r="U75" s="15" t="inlineStr">
        <is>
          <t>OUT</t>
        </is>
      </c>
      <c r="V75" s="15" t="n"/>
      <c r="W75" s="15" t="n">
        <v>66</v>
      </c>
      <c r="Y75">
        <f>B75 &amp; " vs. " &amp; H75</f>
        <v/>
      </c>
      <c r="Z75">
        <f>TRIM(LEFT(Y75, FIND("vs.", Y75)-1))</f>
        <v/>
      </c>
      <c r="AA75">
        <f>TRIM(MID(Y75, FIND(" vs. ", Y75)+4, 100))</f>
        <v/>
      </c>
      <c r="AB75">
        <f>IF(Q75 &gt; VALUE(AC75), "O " &amp; AC75, IF(Q75 &lt; VALUE(AC75), "U " &amp; AC75, AC75))</f>
        <v/>
      </c>
      <c r="AC75" s="15">
        <f>IF(OR(O75="-", P75="-"), "-", MROUND(O75 + P75, 0.5))</f>
        <v/>
      </c>
      <c r="AD75" s="15">
        <f>VALUE(TRIM(RIGHT(AF75, LEN(AF75) - FIND(" ", AF75))))</f>
        <v/>
      </c>
      <c r="AE75" s="15">
        <f>LEFT(AF75,FIND(" ",AF75)-1)</f>
        <v/>
      </c>
      <c r="AF75" s="15">
        <f>IF(OR(O75="-", P75="-"), "-",
IF(MROUND(ABS(O75-P75),0.5)&lt;=0.5,
IF(O75&gt;P75, B75 &amp; " ML", H75 &amp; " ML"),
IF(MROUND(ABS(O75-P75),0.5)=1,
IF(O75&gt;P75, H75 &amp; " +1.5", B75 &amp; " +1.5"),
IF(O75&gt;P75, B75 &amp; " -1.5", H75 &amp; " -1.5")
)
)
)</f>
        <v/>
      </c>
      <c r="AG75" s="15">
        <f>_xlfn.LET(
_xlpm.winA, O75^1.83 / (O75^1.83 + P75^1.83),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76">
      <c r="A76" s="14" t="n">
        <v>46112</v>
      </c>
      <c r="B76" s="15" t="inlineStr">
        <is>
          <t>YANKEES</t>
        </is>
      </c>
      <c r="C76">
        <f>VLOOKUP(B76, 'MLB Data'!$B$5:$D$34, 3, FALSE)</f>
        <v/>
      </c>
      <c r="D76" s="16" t="inlineStr">
        <is>
          <t>FRIED</t>
        </is>
      </c>
      <c r="E76" s="17" t="n">
        <v>4.29</v>
      </c>
      <c r="F76" s="17">
        <f>VLOOKUP(B76, 'MLB Data'!$F$2:$H$34, 3, FALSE)</f>
        <v/>
      </c>
      <c r="G76" s="19">
        <f>IF((E76*0.6+F76*0.4)&lt;2.5, 2.8, IF((E76*0.6+F76*0.4)&gt;5.5, 5.2, (E76*0.6+F76*0.4)))</f>
        <v/>
      </c>
      <c r="H76" s="15" t="inlineStr">
        <is>
          <t>MARINERS</t>
        </is>
      </c>
      <c r="I76">
        <f>VLOOKUP(H76, 'MLB Data'!$B$5:$D$34, 3, FALSE)</f>
        <v/>
      </c>
      <c r="J76" s="16" t="inlineStr">
        <is>
          <t>GILBERT</t>
        </is>
      </c>
      <c r="K76" s="17" t="n">
        <v>3.08</v>
      </c>
      <c r="L76" s="17">
        <f>VLOOKUP(H76, 'MLB Data'!$F$2:$H$34, 3, FALSE)</f>
        <v/>
      </c>
      <c r="M76" s="17">
        <f>IF((K76*0.6+L76*0.4)&lt;2.5, 2.8, IF((K76*0.6+L76*0.4)&gt;5.5, 5.2, (K76*0.6+L76*0.4)))</f>
        <v/>
      </c>
      <c r="O76" s="18">
        <f>(C76/100) * 4.45 * (M76 / 4.2) * T76</f>
        <v/>
      </c>
      <c r="P76" s="18">
        <f>(I76/100) * 4.45 * (G76 / 4.2) * T76</f>
        <v/>
      </c>
      <c r="Q76" s="18">
        <f>(O76+P76)</f>
        <v/>
      </c>
      <c r="S76" s="15">
        <f>H76</f>
        <v/>
      </c>
      <c r="T76" s="19">
        <f>IF(S76="ROCKIES",1.13,IF(S76="ATHLETICS",1.03,IF(S76="ROYALS",1.03,IF(S76="TWINS",1,IF(S76="TIGERS",1,IF(S76="MARLINS",1.01,IF(S76="REDS",1.05,IF(S76="RED SOX",1.04,IF(S76="YANKEES",1.02,IF(S76="DODGERS",0.99,IF(S76="PADRES",0.96,IF(S76="CUBS",0.98,IF(S76="GIANTS",0.97,IF(S76="MARINERS",0.94,IF(S76="RANGERS",1,IF(S76="ASTROS",0.99,IF(S76="BRAVES",1,IF(S76="METS",0.96,IF(S76="PHILLIES",1.02,IF(S76="BLUE JAYS",1.01,IF(S76="ORIOLES",0.99,IF(S76="RAYS",1.01,IF(S76="GUARDIANS",0.99,IF(S76="WHITE SOX",0.98,IF(S76="ANGELS",1.01,IF(S76="D-BACKS",1.01,IF(S76="BREWERS",0.99,IF(S76="CARDINALS",0.96,IF(S76="PIRATES",1.02,IF(S76="NATIONALS",1,1))))))))))))))))))))))))))))))*IF(W76="",1,(1+((W76-70)/10*0.035)))*IF(U76="DOME",1,IF(U76="IN",1-(V76*0.01),IF(U76="OUT",1+(V76*0.01),IF(OR(U76="L-R",U76="R-L"),1+(V76*0.005),1))))</f>
        <v/>
      </c>
      <c r="U76" s="15" t="inlineStr">
        <is>
          <t>DOME</t>
        </is>
      </c>
      <c r="V76" s="15" t="n"/>
      <c r="W76" s="15" t="n"/>
      <c r="Y76">
        <f>B76 &amp; " vs. " &amp; H76</f>
        <v/>
      </c>
      <c r="Z76">
        <f>TRIM(LEFT(Y76, FIND("vs.", Y76)-1))</f>
        <v/>
      </c>
      <c r="AA76">
        <f>TRIM(MID(Y76, FIND(" vs. ", Y76)+4, 100))</f>
        <v/>
      </c>
      <c r="AB76">
        <f>IF(Q76 &gt; VALUE(AC76), "O " &amp; AC76, IF(Q76 &lt; VALUE(AC76), "U " &amp; AC76, AC76))</f>
        <v/>
      </c>
      <c r="AC76" s="15">
        <f>IF(OR(O76="-", P76="-"), "-", MROUND(O76 + P76, 0.5))</f>
        <v/>
      </c>
      <c r="AD76" s="15">
        <f>VALUE(TRIM(RIGHT(AF76, LEN(AF76) - FIND(" ", AF76))))</f>
        <v/>
      </c>
      <c r="AE76" s="15">
        <f>LEFT(AF76,FIND(" ",AF76)-1)</f>
        <v/>
      </c>
      <c r="AF76" s="15">
        <f>IF(OR(O76="-", P76="-"), "-",
IF(MROUND(ABS(O76-P76),0.5)&lt;=0.5,
IF(O76&gt;P76, B76 &amp; " ML", H76 &amp; " ML"),
IF(MROUND(ABS(O76-P76),0.5)=1,
IF(O76&gt;P76, H76 &amp; " +1.5", B76 &amp; " +1.5"),
IF(O76&gt;P76, B76 &amp; " -1.5", H76 &amp; " -1.5")
)
)
)</f>
        <v/>
      </c>
      <c r="AG76" s="15">
        <f>_xlfn.LET(
_xlpm.winA, O76^1.83 / (O76^1.83 + P76^1.83),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77">
      <c r="A77" s="14" t="n">
        <v>46112</v>
      </c>
      <c r="B77" s="15" t="inlineStr">
        <is>
          <t>GUARDIANS</t>
        </is>
      </c>
      <c r="C77">
        <f>VLOOKUP(B77, 'MLB Data'!$B$5:$D$34, 3, FALSE)</f>
        <v/>
      </c>
      <c r="D77" s="16" t="inlineStr">
        <is>
          <t>BIBEE</t>
        </is>
      </c>
      <c r="E77" s="17" t="n">
        <v>2.79</v>
      </c>
      <c r="F77" s="17">
        <f>VLOOKUP(B77, 'MLB Data'!$F$2:$H$34, 3, FALSE)</f>
        <v/>
      </c>
      <c r="G77" s="19">
        <f>IF((E77*0.6+F77*0.4)&lt;2.5, 2.8, IF((E77*0.6+F77*0.4)&gt;5.5, 5.2, (E77*0.6+F77*0.4)))</f>
        <v/>
      </c>
      <c r="H77" s="15" t="inlineStr">
        <is>
          <t>DODGERS</t>
        </is>
      </c>
      <c r="I77">
        <f>VLOOKUP(H77, 'MLB Data'!$B$5:$D$34, 3, FALSE)</f>
        <v/>
      </c>
      <c r="J77" s="16" t="inlineStr">
        <is>
          <t>OHTANI</t>
        </is>
      </c>
      <c r="K77" s="17" t="n">
        <v>2.45</v>
      </c>
      <c r="L77" s="17">
        <f>VLOOKUP(H77, 'MLB Data'!$F$2:$H$34, 3, FALSE)</f>
        <v/>
      </c>
      <c r="M77" s="17">
        <f>IF((K77*0.6+L77*0.4)&lt;2.5, 2.8, IF((K77*0.6+L77*0.4)&gt;5.5, 5.2, (K77*0.6+L77*0.4)))</f>
        <v/>
      </c>
      <c r="O77" s="18">
        <f>(C77/100) * 4.45 * (M77 / 4.2) * T77</f>
        <v/>
      </c>
      <c r="P77" s="18">
        <f>(I77/100) * 4.45 * (G77 / 4.2) * T77</f>
        <v/>
      </c>
      <c r="Q77" s="18">
        <f>(O77+P77)</f>
        <v/>
      </c>
      <c r="S77" s="15">
        <f>H77</f>
        <v/>
      </c>
      <c r="T77" s="19">
        <f>IF(S77="ROCKIES",1.13,IF(S77="ATHLETICS",1.03,IF(S77="ROYALS",1.03,IF(S77="TWINS",1,IF(S77="TIGERS",1,IF(S77="MARLINS",1.01,IF(S77="REDS",1.05,IF(S77="RED SOX",1.04,IF(S77="YANKEES",1.02,IF(S77="DODGERS",0.99,IF(S77="PADRES",0.96,IF(S77="CUBS",0.98,IF(S77="GIANTS",0.97,IF(S77="MARINERS",0.94,IF(S77="RANGERS",1,IF(S77="ASTROS",0.99,IF(S77="BRAVES",1,IF(S77="METS",0.96,IF(S77="PHILLIES",1.02,IF(S77="BLUE JAYS",1.01,IF(S77="ORIOLES",0.99,IF(S77="RAYS",1.01,IF(S77="GUARDIANS",0.99,IF(S77="WHITE SOX",0.98,IF(S77="ANGELS",1.01,IF(S77="D-BACKS",1.01,IF(S77="BREWERS",0.99,IF(S77="CARDINALS",0.96,IF(S77="PIRATES",1.02,IF(S77="NATIONALS",1,1))))))))))))))))))))))))))))))*IF(W77="",1,(1+((W77-70)/10*0.035)))*IF(U77="DOME",1,IF(U77="IN",1-(V77*0.01),IF(U77="OUT",1+(V77*0.01),IF(OR(U77="L-R",U77="R-L"),1+(V77*0.005),1))))</f>
        <v/>
      </c>
      <c r="U77" s="15" t="inlineStr">
        <is>
          <t>OUT</t>
        </is>
      </c>
      <c r="V77" s="15" t="n"/>
      <c r="W77" s="15" t="n">
        <v>63</v>
      </c>
      <c r="Y77">
        <f>B77 &amp; " vs. " &amp; H77</f>
        <v/>
      </c>
      <c r="Z77">
        <f>TRIM(LEFT(Y77, FIND("vs.", Y77)-1))</f>
        <v/>
      </c>
      <c r="AA77">
        <f>TRIM(MID(Y77, FIND(" vs. ", Y77)+4, 100))</f>
        <v/>
      </c>
      <c r="AB77">
        <f>IF(Q77 &gt; VALUE(AC77), "O " &amp; AC77, IF(Q77 &lt; VALUE(AC77), "U " &amp; AC77, AC77))</f>
        <v/>
      </c>
      <c r="AC77" s="15">
        <f>IF(OR(O77="-", P77="-"), "-", MROUND(O77 + P77, 0.5))</f>
        <v/>
      </c>
      <c r="AD77" s="15">
        <f>VALUE(TRIM(RIGHT(AF77, LEN(AF77) - FIND(" ", AF77))))</f>
        <v/>
      </c>
      <c r="AE77" s="15">
        <f>LEFT(AF77,FIND(" ",AF77)-1)</f>
        <v/>
      </c>
      <c r="AF77" s="15">
        <f>IF(OR(O77="-", P77="-"), "-",
IF(MROUND(ABS(O77-P77),0.5)&lt;=0.5,
IF(O77&gt;P77, B77 &amp; " ML", H77 &amp; " ML"),
IF(MROUND(ABS(O77-P77),0.5)=1,
IF(O77&gt;P77, H77 &amp; " +1.5", B77 &amp; " +1.5"),
IF(O77&gt;P77, B77 &amp; " -1.5", H77 &amp; " -1.5")
)
)
)</f>
        <v/>
      </c>
      <c r="AG77" s="15">
        <f>_xlfn.LET(
_xlpm.winA, O77^1.83 / (O77^1.83 + P77^1.83),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78">
      <c r="A78" s="14" t="n">
        <v>46113</v>
      </c>
      <c r="B78" s="15" t="inlineStr">
        <is>
          <t>ATHLETICS</t>
        </is>
      </c>
      <c r="C78">
        <f>VLOOKUP(B78, 'MLB Data'!$B$5:$D$34, 3, FALSE)</f>
        <v/>
      </c>
      <c r="D78" s="16" t="inlineStr">
        <is>
          <t xml:space="preserve">SEVERINO </t>
        </is>
      </c>
      <c r="E78" s="17" t="n"/>
      <c r="F78" s="17">
        <f>VLOOKUP(B78, 'MLB Data'!$F$2:$H$34, 3, FALSE)</f>
        <v/>
      </c>
      <c r="G78" s="19">
        <f>IF((E78*0.6+F78*0.4)&lt;2.5, 2.8, IF((E78*0.6+F78*0.4)&gt;5.5, 5.2, (E78*0.6+F78*0.4)))</f>
        <v/>
      </c>
      <c r="H78" s="15" t="inlineStr">
        <is>
          <t>BRAVES</t>
        </is>
      </c>
      <c r="I78">
        <f>VLOOKUP(H78, 'MLB Data'!$B$5:$D$34, 3, FALSE)</f>
        <v/>
      </c>
      <c r="J78" s="16" t="inlineStr">
        <is>
          <t>SALE</t>
        </is>
      </c>
      <c r="K78" s="17" t="n"/>
      <c r="L78" s="17">
        <f>VLOOKUP(H78, 'MLB Data'!$F$2:$H$34, 3, FALSE)</f>
        <v/>
      </c>
      <c r="M78" s="17">
        <f>IF((K78*0.6+L78*0.4)&lt;2.5, 2.8, IF((K78*0.6+L78*0.4)&gt;5.5, 5.2, (K78*0.6+L78*0.4)))</f>
        <v/>
      </c>
      <c r="O78" s="18">
        <f>(C78/100) * 4.45 * (M78 / 4.2) * T78</f>
        <v/>
      </c>
      <c r="P78" s="18">
        <f>(I78/100) * 4.45 * (G78 / 4.2) * T78</f>
        <v/>
      </c>
      <c r="Q78" s="18">
        <f>(O78+P78)</f>
        <v/>
      </c>
      <c r="S78" s="15">
        <f>H78</f>
        <v/>
      </c>
      <c r="T78" s="19">
        <f>IF(S78="ROCKIES",1.13,IF(S78="ATHLETICS",1.03,IF(S78="ROYALS",1.03,IF(S78="TWINS",1,IF(S78="TIGERS",1,IF(S78="MARLINS",1.01,IF(S78="REDS",1.05,IF(S78="RED SOX",1.04,IF(S78="YANKEES",1.02,IF(S78="DODGERS",0.99,IF(S78="PADRES",0.96,IF(S78="CUBS",0.98,IF(S78="GIANTS",0.97,IF(S78="MARINERS",0.94,IF(S78="RANGERS",1,IF(S78="ASTROS",0.99,IF(S78="BRAVES",1,IF(S78="METS",0.96,IF(S78="PHILLIES",1.02,IF(S78="BLUE JAYS",1.01,IF(S78="ORIOLES",0.99,IF(S78="RAYS",1.01,IF(S78="GUARDIANS",0.99,IF(S78="WHITE SOX",0.98,IF(S78="ANGELS",1.01,IF(S78="D-BACKS",1.01,IF(S78="BREWERS",0.99,IF(S78="CARDINALS",0.96,IF(S78="PIRATES",1.02,IF(S78="NATIONALS",1,1))))))))))))))))))))))))))))))*IF(W78="",1,(1+((W78-70)/10*0.035)))*IF(U78="DOME",1,IF(U78="IN",1-(V78*0.01),IF(U78="OUT",1+(V78*0.01),IF(OR(U78="L-R",U78="R-L"),1+(V78*0.005),1))))</f>
        <v/>
      </c>
      <c r="U78" s="15" t="inlineStr">
        <is>
          <t>OUT</t>
        </is>
      </c>
      <c r="V78" s="15" t="n"/>
      <c r="W78" s="15" t="n">
        <v>63</v>
      </c>
      <c r="Y78">
        <f>B78 &amp; " vs. " &amp; H78</f>
        <v/>
      </c>
      <c r="Z78">
        <f>TRIM(LEFT(Y78, FIND("vs.", Y78)-1))</f>
        <v/>
      </c>
      <c r="AA78">
        <f>TRIM(MID(Y78, FIND(" vs. ", Y78)+4, 100))</f>
        <v/>
      </c>
      <c r="AB78">
        <f>IF(Q78 &gt; VALUE(AC78), "O " &amp; AC78, IF(Q78 &lt; VALUE(AC78), "U " &amp; AC78, AC78))</f>
        <v/>
      </c>
      <c r="AC78" s="15">
        <f>IF(OR(O78="-", P78="-"), "-", MROUND(O78 + P78, 0.5))</f>
        <v/>
      </c>
      <c r="AD78" s="15">
        <f>VALUE(TRIM(RIGHT(AF78, LEN(AF78) - FIND(" ", AF78))))</f>
        <v/>
      </c>
      <c r="AE78" s="15">
        <f>LEFT(AF78,FIND(" ",AF78)-1)</f>
        <v/>
      </c>
      <c r="AF78" s="15">
        <f>IF(OR(O78="-", P78="-"), "-",
IF(MROUND(ABS(O78-P78),0.5)&lt;=0.5,
IF(O78&gt;P78, B78 &amp; " ML", H78 &amp; " ML"),
IF(MROUND(ABS(O78-P78),0.5)=1,
IF(O78&gt;P78, H78 &amp; " +1.5", B78 &amp; " +1.5"),
IF(O78&gt;P78, B78 &amp; " -1.5", H78 &amp; " -1.5")
)
)
)</f>
        <v/>
      </c>
      <c r="AG78" s="15">
        <f>_xlfn.LET(
_xlpm.winA, O78^1.83 / (O78^1.83 + P78^1.83),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79">
      <c r="A79" s="14" t="n">
        <v>46113</v>
      </c>
      <c r="B79" s="15" t="inlineStr">
        <is>
          <t>PIRATES</t>
        </is>
      </c>
      <c r="C79">
        <f>VLOOKUP(B79, 'MLB Data'!$B$5:$D$34, 3, FALSE)</f>
        <v/>
      </c>
      <c r="D79" s="16" t="inlineStr">
        <is>
          <t>SKENES</t>
        </is>
      </c>
      <c r="E79" s="17" t="n"/>
      <c r="F79" s="17">
        <f>VLOOKUP(B79, 'MLB Data'!$F$2:$H$34, 3, FALSE)</f>
        <v/>
      </c>
      <c r="G79" s="19">
        <f>IF((E79*0.6+F79*0.4)&lt;2.5, 2.8, IF((E79*0.6+F79*0.4)&gt;5.5, 5.2, (E79*0.6+F79*0.4)))</f>
        <v/>
      </c>
      <c r="H79" s="15" t="inlineStr">
        <is>
          <t>REDS</t>
        </is>
      </c>
      <c r="I79">
        <f>VLOOKUP(H79, 'MLB Data'!$B$5:$D$34, 3, FALSE)</f>
        <v/>
      </c>
      <c r="J79" s="16" t="inlineStr">
        <is>
          <t>ABBOTT</t>
        </is>
      </c>
      <c r="K79" s="17" t="n"/>
      <c r="L79" s="17">
        <f>VLOOKUP(H79, 'MLB Data'!$F$2:$H$34, 3, FALSE)</f>
        <v/>
      </c>
      <c r="M79" s="17">
        <f>IF((K79*0.6+L79*0.4)&lt;2.5, 2.8, IF((K79*0.6+L79*0.4)&gt;5.5, 5.2, (K79*0.6+L79*0.4)))</f>
        <v/>
      </c>
      <c r="O79" s="18">
        <f>(C79/100) * 4.45 * (M79 / 4.2) * T79</f>
        <v/>
      </c>
      <c r="P79" s="18">
        <f>(I79/100) * 4.45 * (G79 / 4.2) * T79</f>
        <v/>
      </c>
      <c r="Q79" s="18">
        <f>(O79+P79)</f>
        <v/>
      </c>
      <c r="S79" s="15">
        <f>H79</f>
        <v/>
      </c>
      <c r="T79" s="19">
        <f>IF(S79="ROCKIES",1.13,IF(S79="ATHLETICS",1.03,IF(S79="ROYALS",1.03,IF(S79="TWINS",1,IF(S79="TIGERS",1,IF(S79="MARLINS",1.01,IF(S79="REDS",1.05,IF(S79="RED SOX",1.04,IF(S79="YANKEES",1.02,IF(S79="DODGERS",0.99,IF(S79="PADRES",0.96,IF(S79="CUBS",0.98,IF(S79="GIANTS",0.97,IF(S79="MARINERS",0.94,IF(S79="RANGERS",1,IF(S79="ASTROS",0.99,IF(S79="BRAVES",1,IF(S79="METS",0.96,IF(S79="PHILLIES",1.02,IF(S79="BLUE JAYS",1.01,IF(S79="ORIOLES",0.99,IF(S79="RAYS",1.01,IF(S79="GUARDIANS",0.99,IF(S79="WHITE SOX",0.98,IF(S79="ANGELS",1.01,IF(S79="D-BACKS",1.01,IF(S79="BREWERS",0.99,IF(S79="CARDINALS",0.96,IF(S79="PIRATES",1.02,IF(S79="NATIONALS",1,1))))))))))))))))))))))))))))))*IF(W79="",1,(1+((W79-70)/10*0.035)))*IF(U79="DOME",1,IF(U79="IN",1-(V79*0.01),IF(U79="OUT",1+(V79*0.01),IF(OR(U79="L-R",U79="R-L"),1+(V79*0.005),1))))</f>
        <v/>
      </c>
      <c r="U79" s="15" t="inlineStr">
        <is>
          <t>OUT</t>
        </is>
      </c>
      <c r="V79" s="15" t="n"/>
      <c r="W79" s="15" t="n">
        <v>63</v>
      </c>
      <c r="Y79">
        <f>B79 &amp; " vs. " &amp; H79</f>
        <v/>
      </c>
      <c r="Z79">
        <f>TRIM(LEFT(Y79, FIND("vs.", Y79)-1))</f>
        <v/>
      </c>
      <c r="AA79">
        <f>TRIM(MID(Y79, FIND(" vs. ", Y79)+4, 100))</f>
        <v/>
      </c>
      <c r="AB79">
        <f>IF(Q79 &gt; VALUE(AC79), "O " &amp; AC79, IF(Q79 &lt; VALUE(AC79), "U " &amp; AC79, AC79))</f>
        <v/>
      </c>
      <c r="AC79" s="15">
        <f>IF(OR(O79="-", P79="-"), "-", MROUND(O79 + P79, 0.5))</f>
        <v/>
      </c>
      <c r="AD79" s="15">
        <f>VALUE(TRIM(RIGHT(AF79, LEN(AF79) - FIND(" ", AF79))))</f>
        <v/>
      </c>
      <c r="AE79" s="15">
        <f>LEFT(AF79,FIND(" ",AF79)-1)</f>
        <v/>
      </c>
      <c r="AF79" s="15">
        <f>IF(OR(O79="-", P79="-"), "-",
IF(MROUND(ABS(O79-P79),0.5)&lt;=0.5,
IF(O79&gt;P79, B79 &amp; " ML", H79 &amp; " ML"),
IF(MROUND(ABS(O79-P79),0.5)=1,
IF(O79&gt;P79, H79 &amp; " +1.5", B79 &amp; " +1.5"),
IF(O79&gt;P79, B79 &amp; " -1.5", H79 &amp; " -1.5")
)
)
)</f>
        <v/>
      </c>
      <c r="AG79" s="15">
        <f>_xlfn.LET(
_xlpm.winA, O79^1.83 / (O79^1.83 + P79^1.83),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80">
      <c r="A80" s="14" t="n">
        <v>46113</v>
      </c>
      <c r="B80" s="15" t="inlineStr">
        <is>
          <t>RANGERS</t>
        </is>
      </c>
      <c r="C80">
        <f>VLOOKUP(B80, 'MLB Data'!$B$5:$D$34, 3, FALSE)</f>
        <v/>
      </c>
      <c r="D80" s="16" t="inlineStr">
        <is>
          <t>EOVALDI</t>
        </is>
      </c>
      <c r="E80" s="17" t="n"/>
      <c r="F80" s="17">
        <f>VLOOKUP(B80, 'MLB Data'!$F$2:$H$34, 3, FALSE)</f>
        <v/>
      </c>
      <c r="G80" s="19">
        <f>IF((E80*0.6+F80*0.4)&lt;2.5, 2.8, IF((E80*0.6+F80*0.4)&gt;5.5, 5.2, (E80*0.6+F80*0.4)))</f>
        <v/>
      </c>
      <c r="H80" s="15" t="inlineStr">
        <is>
          <t>ORIOLES</t>
        </is>
      </c>
      <c r="I80">
        <f>VLOOKUP(H80, 'MLB Data'!$B$5:$D$34, 3, FALSE)</f>
        <v/>
      </c>
      <c r="J80" s="16" t="inlineStr">
        <is>
          <t>ROGERS</t>
        </is>
      </c>
      <c r="K80" s="17" t="n"/>
      <c r="L80" s="17">
        <f>VLOOKUP(H80, 'MLB Data'!$F$2:$H$34, 3, FALSE)</f>
        <v/>
      </c>
      <c r="M80" s="17">
        <f>IF((K80*0.6+L80*0.4)&lt;2.5, 2.8, IF((K80*0.6+L80*0.4)&gt;5.5, 5.2, (K80*0.6+L80*0.4)))</f>
        <v/>
      </c>
      <c r="O80" s="18">
        <f>(C80/100) * 4.45 * (M80 / 4.2) * T80</f>
        <v/>
      </c>
      <c r="P80" s="18">
        <f>(I80/100) * 4.45 * (G80 / 4.2) * T80</f>
        <v/>
      </c>
      <c r="Q80" s="18">
        <f>(O80+P80)</f>
        <v/>
      </c>
      <c r="S80" s="15">
        <f>H80</f>
        <v/>
      </c>
      <c r="T80" s="19">
        <f>IF(S80="ROCKIES",1.13,IF(S80="ATHLETICS",1.03,IF(S80="ROYALS",1.03,IF(S80="TWINS",1,IF(S80="TIGERS",1,IF(S80="MARLINS",1.01,IF(S80="REDS",1.05,IF(S80="RED SOX",1.04,IF(S80="YANKEES",1.02,IF(S80="DODGERS",0.99,IF(S80="PADRES",0.96,IF(S80="CUBS",0.98,IF(S80="GIANTS",0.97,IF(S80="MARINERS",0.94,IF(S80="RANGERS",1,IF(S80="ASTROS",0.99,IF(S80="BRAVES",1,IF(S80="METS",0.96,IF(S80="PHILLIES",1.02,IF(S80="BLUE JAYS",1.01,IF(S80="ORIOLES",0.99,IF(S80="RAYS",1.01,IF(S80="GUARDIANS",0.99,IF(S80="WHITE SOX",0.98,IF(S80="ANGELS",1.01,IF(S80="D-BACKS",1.01,IF(S80="BREWERS",0.99,IF(S80="CARDINALS",0.96,IF(S80="PIRATES",1.02,IF(S80="NATIONALS",1,1))))))))))))))))))))))))))))))*IF(W80="",1,(1+((W80-70)/10*0.035)))*IF(U80="DOME",1,IF(U80="IN",1-(V80*0.01),IF(U80="OUT",1+(V80*0.01),IF(OR(U80="L-R",U80="R-L"),1+(V80*0.005),1))))</f>
        <v/>
      </c>
      <c r="U80" s="15" t="inlineStr">
        <is>
          <t>OUT</t>
        </is>
      </c>
      <c r="V80" s="15" t="n"/>
      <c r="W80" s="15" t="n">
        <v>63</v>
      </c>
      <c r="Y80">
        <f>B80 &amp; " vs. " &amp; H80</f>
        <v/>
      </c>
      <c r="Z80">
        <f>TRIM(LEFT(Y80, FIND("vs.", Y80)-1))</f>
        <v/>
      </c>
      <c r="AA80">
        <f>TRIM(MID(Y80, FIND(" vs. ", Y80)+4, 100))</f>
        <v/>
      </c>
      <c r="AB80">
        <f>IF(Q80 &gt; VALUE(AC80), "O " &amp; AC80, IF(Q80 &lt; VALUE(AC80), "U " &amp; AC80, AC80))</f>
        <v/>
      </c>
      <c r="AC80" s="15">
        <f>IF(OR(O80="-", P80="-"), "-", MROUND(O80 + P80, 0.5))</f>
        <v/>
      </c>
      <c r="AD80" s="15">
        <f>VALUE(TRIM(RIGHT(AF80, LEN(AF80) - FIND(" ", AF80))))</f>
        <v/>
      </c>
      <c r="AE80" s="15">
        <f>LEFT(AF80,FIND(" ",AF80)-1)</f>
        <v/>
      </c>
      <c r="AF80" s="15">
        <f>IF(OR(O80="-", P80="-"), "-",
IF(MROUND(ABS(O80-P80),0.5)&lt;=0.5,
IF(O80&gt;P80, B80 &amp; " ML", H80 &amp; " ML"),
IF(MROUND(ABS(O80-P80),0.5)=1,
IF(O80&gt;P80, H80 &amp; " +1.5", B80 &amp; " +1.5"),
IF(O80&gt;P80, B80 &amp; " -1.5", H80 &amp; " -1.5")
)
)
)</f>
        <v/>
      </c>
      <c r="AG80" s="15">
        <f>_xlfn.LET(
_xlpm.winA, O80^1.83 / (O80^1.83 + P80^1.83),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81">
      <c r="A81" s="14" t="n">
        <v>46113</v>
      </c>
      <c r="B81" s="15" t="inlineStr">
        <is>
          <t>WHITE SOX</t>
        </is>
      </c>
      <c r="C81">
        <f>VLOOKUP(B81, 'MLB Data'!$B$5:$D$34, 3, FALSE)</f>
        <v/>
      </c>
      <c r="D81" s="16" t="inlineStr">
        <is>
          <t>BURKE</t>
        </is>
      </c>
      <c r="E81" s="17" t="n"/>
      <c r="F81" s="17">
        <f>VLOOKUP(B81, 'MLB Data'!$F$2:$H$34, 3, FALSE)</f>
        <v/>
      </c>
      <c r="G81" s="19">
        <f>IF((E81*0.6+F81*0.4)&lt;2.5, 2.8, IF((E81*0.6+F81*0.4)&gt;5.5, 5.2, (E81*0.6+F81*0.4)))</f>
        <v/>
      </c>
      <c r="H81" s="15" t="inlineStr">
        <is>
          <t>MARLINS</t>
        </is>
      </c>
      <c r="I81">
        <f>VLOOKUP(H81, 'MLB Data'!$B$5:$D$34, 3, FALSE)</f>
        <v/>
      </c>
      <c r="J81" s="16" t="inlineStr">
        <is>
          <t>ALCANTARA</t>
        </is>
      </c>
      <c r="K81" s="17" t="n"/>
      <c r="L81" s="17">
        <f>VLOOKUP(H81, 'MLB Data'!$F$2:$H$34, 3, FALSE)</f>
        <v/>
      </c>
      <c r="M81" s="17">
        <f>IF((K81*0.6+L81*0.4)&lt;2.5, 2.8, IF((K81*0.6+L81*0.4)&gt;5.5, 5.2, (K81*0.6+L81*0.4)))</f>
        <v/>
      </c>
      <c r="O81" s="18">
        <f>(C81/100) * 4.45 * (M81 / 4.2) * T81</f>
        <v/>
      </c>
      <c r="P81" s="18">
        <f>(I81/100) * 4.45 * (G81 / 4.2) * T81</f>
        <v/>
      </c>
      <c r="Q81" s="18">
        <f>(O81+P81)</f>
        <v/>
      </c>
      <c r="S81" s="15">
        <f>H81</f>
        <v/>
      </c>
      <c r="T81" s="19">
        <f>IF(S81="ROCKIES",1.13,IF(S81="ATHLETICS",1.03,IF(S81="ROYALS",1.03,IF(S81="TWINS",1,IF(S81="TIGERS",1,IF(S81="MARLINS",1.01,IF(S81="REDS",1.05,IF(S81="RED SOX",1.04,IF(S81="YANKEES",1.02,IF(S81="DODGERS",0.99,IF(S81="PADRES",0.96,IF(S81="CUBS",0.98,IF(S81="GIANTS",0.97,IF(S81="MARINERS",0.94,IF(S81="RANGERS",1,IF(S81="ASTROS",0.99,IF(S81="BRAVES",1,IF(S81="METS",0.96,IF(S81="PHILLIES",1.02,IF(S81="BLUE JAYS",1.01,IF(S81="ORIOLES",0.99,IF(S81="RAYS",1.01,IF(S81="GUARDIANS",0.99,IF(S81="WHITE SOX",0.98,IF(S81="ANGELS",1.01,IF(S81="D-BACKS",1.01,IF(S81="BREWERS",0.99,IF(S81="CARDINALS",0.96,IF(S81="PIRATES",1.02,IF(S81="NATIONALS",1,1))))))))))))))))))))))))))))))*IF(W81="",1,(1+((W81-70)/10*0.035)))*IF(U81="DOME",1,IF(U81="IN",1-(V81*0.01),IF(U81="OUT",1+(V81*0.01),IF(OR(U81="L-R",U81="R-L"),1+(V81*0.005),1))))</f>
        <v/>
      </c>
      <c r="U81" s="15" t="inlineStr">
        <is>
          <t>OUT</t>
        </is>
      </c>
      <c r="V81" s="15" t="n"/>
      <c r="W81" s="15" t="n">
        <v>63</v>
      </c>
      <c r="Y81">
        <f>B81 &amp; " vs. " &amp; H81</f>
        <v/>
      </c>
      <c r="Z81">
        <f>TRIM(LEFT(Y81, FIND("vs.", Y81)-1))</f>
        <v/>
      </c>
      <c r="AA81">
        <f>TRIM(MID(Y81, FIND(" vs. ", Y81)+4, 100))</f>
        <v/>
      </c>
      <c r="AB81">
        <f>IF(Q81 &gt; VALUE(AC81), "O " &amp; AC81, IF(Q81 &lt; VALUE(AC81), "U " &amp; AC81, AC81))</f>
        <v/>
      </c>
      <c r="AC81" s="15">
        <f>IF(OR(O81="-", P81="-"), "-", MROUND(O81 + P81, 0.5))</f>
        <v/>
      </c>
      <c r="AD81" s="15">
        <f>VALUE(TRIM(RIGHT(AF81, LEN(AF81) - FIND(" ", AF81))))</f>
        <v/>
      </c>
      <c r="AE81" s="15">
        <f>LEFT(AF81,FIND(" ",AF81)-1)</f>
        <v/>
      </c>
      <c r="AF81" s="15">
        <f>IF(OR(O81="-", P81="-"), "-",
IF(MROUND(ABS(O81-P81),0.5)&lt;=0.5,
IF(O81&gt;P81, B81 &amp; " ML", H81 &amp; " ML"),
IF(MROUND(ABS(O81-P81),0.5)=1,
IF(O81&gt;P81, H81 &amp; " +1.5", B81 &amp; " +1.5"),
IF(O81&gt;P81, B81 &amp; " -1.5", H81 &amp; " -1.5")
)
)
)</f>
        <v/>
      </c>
      <c r="AG81" s="15">
        <f>_xlfn.LET(
_xlpm.winA, O81^1.83 / (O81^1.83 + P81^1.83),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82">
      <c r="A82" s="14" t="n">
        <v>46113</v>
      </c>
      <c r="B82" s="15" t="inlineStr">
        <is>
          <t>NATIONALS</t>
        </is>
      </c>
      <c r="C82">
        <f>VLOOKUP(B82, 'MLB Data'!$B$5:$D$34, 3, FALSE)</f>
        <v/>
      </c>
      <c r="D82" s="16" t="inlineStr">
        <is>
          <t>CAVALLI</t>
        </is>
      </c>
      <c r="E82" s="17" t="n"/>
      <c r="F82" s="17">
        <f>VLOOKUP(B82, 'MLB Data'!$F$2:$H$34, 3, FALSE)</f>
        <v/>
      </c>
      <c r="G82" s="19">
        <f>IF((E82*0.6+F82*0.4)&lt;2.5, 2.8, IF((E82*0.6+F82*0.4)&gt;5.5, 5.2, (E82*0.6+F82*0.4)))</f>
        <v/>
      </c>
      <c r="H82" s="15" t="inlineStr">
        <is>
          <t>PHILLIES</t>
        </is>
      </c>
      <c r="I82">
        <f>VLOOKUP(H82, 'MLB Data'!$B$5:$D$34, 3, FALSE)</f>
        <v/>
      </c>
      <c r="J82" s="16" t="inlineStr">
        <is>
          <t>SANCHEZ</t>
        </is>
      </c>
      <c r="K82" s="17" t="n"/>
      <c r="L82" s="17">
        <f>VLOOKUP(H82, 'MLB Data'!$F$2:$H$34, 3, FALSE)</f>
        <v/>
      </c>
      <c r="M82" s="17">
        <f>IF((K82*0.6+L82*0.4)&lt;2.5, 2.8, IF((K82*0.6+L82*0.4)&gt;5.5, 5.2, (K82*0.6+L82*0.4)))</f>
        <v/>
      </c>
      <c r="O82" s="18">
        <f>(C82/100) * 4.45 * (M82 / 4.2) * T82</f>
        <v/>
      </c>
      <c r="P82" s="18">
        <f>(I82/100) * 4.45 * (G82 / 4.2) * T82</f>
        <v/>
      </c>
      <c r="Q82" s="18">
        <f>(O82+P82)</f>
        <v/>
      </c>
      <c r="S82" s="15">
        <f>H82</f>
        <v/>
      </c>
      <c r="T82" s="19">
        <f>IF(S82="ROCKIES",1.13,IF(S82="ATHLETICS",1.03,IF(S82="ROYALS",1.03,IF(S82="TWINS",1,IF(S82="TIGERS",1,IF(S82="MARLINS",1.01,IF(S82="REDS",1.05,IF(S82="RED SOX",1.04,IF(S82="YANKEES",1.02,IF(S82="DODGERS",0.99,IF(S82="PADRES",0.96,IF(S82="CUBS",0.98,IF(S82="GIANTS",0.97,IF(S82="MARINERS",0.94,IF(S82="RANGERS",1,IF(S82="ASTROS",0.99,IF(S82="BRAVES",1,IF(S82="METS",0.96,IF(S82="PHILLIES",1.02,IF(S82="BLUE JAYS",1.01,IF(S82="ORIOLES",0.99,IF(S82="RAYS",1.01,IF(S82="GUARDIANS",0.99,IF(S82="WHITE SOX",0.98,IF(S82="ANGELS",1.01,IF(S82="D-BACKS",1.01,IF(S82="BREWERS",0.99,IF(S82="CARDINALS",0.96,IF(S82="PIRATES",1.02,IF(S82="NATIONALS",1,1))))))))))))))))))))))))))))))*IF(W82="",1,(1+((W82-70)/10*0.035)))*IF(U82="DOME",1,IF(U82="IN",1-(V82*0.01),IF(U82="OUT",1+(V82*0.01),IF(OR(U82="L-R",U82="R-L"),1+(V82*0.005),1))))</f>
        <v/>
      </c>
      <c r="U82" s="15" t="inlineStr">
        <is>
          <t>OUT</t>
        </is>
      </c>
      <c r="V82" s="15" t="n"/>
      <c r="W82" s="15" t="n">
        <v>63</v>
      </c>
      <c r="Y82">
        <f>B82 &amp; " vs. " &amp; H82</f>
        <v/>
      </c>
      <c r="Z82">
        <f>TRIM(LEFT(Y82, FIND("vs.", Y82)-1))</f>
        <v/>
      </c>
      <c r="AA82">
        <f>TRIM(MID(Y82, FIND(" vs. ", Y82)+4, 100))</f>
        <v/>
      </c>
      <c r="AB82">
        <f>IF(Q82 &gt; VALUE(AC82), "O " &amp; AC82, IF(Q82 &lt; VALUE(AC82), "U " &amp; AC82, AC82))</f>
        <v/>
      </c>
      <c r="AC82" s="15">
        <f>IF(OR(O82="-", P82="-"), "-", MROUND(O82 + P82, 0.5))</f>
        <v/>
      </c>
      <c r="AD82" s="15">
        <f>VALUE(TRIM(RIGHT(AF82, LEN(AF82) - FIND(" ", AF82))))</f>
        <v/>
      </c>
      <c r="AE82" s="15">
        <f>LEFT(AF82,FIND(" ",AF82)-1)</f>
        <v/>
      </c>
      <c r="AF82" s="15">
        <f>IF(OR(O82="-", P82="-"), "-",
IF(MROUND(ABS(O82-P82),0.5)&lt;=0.5,
IF(O82&gt;P82, B82 &amp; " ML", H82 &amp; " ML"),
IF(MROUND(ABS(O82-P82),0.5)=1,
IF(O82&gt;P82, H82 &amp; " +1.5", B82 &amp; " +1.5"),
IF(O82&gt;P82, B82 &amp; " -1.5", H82 &amp; " -1.5")
)
)
)</f>
        <v/>
      </c>
      <c r="AG82" s="15">
        <f>_xlfn.LET(
_xlpm.winA, O82^1.83 / (O82^1.83 + P82^1.83),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83">
      <c r="A83" s="14" t="n">
        <v>46113</v>
      </c>
      <c r="B83" s="15" t="inlineStr">
        <is>
          <t>ROCKIES</t>
        </is>
      </c>
      <c r="C83">
        <f>VLOOKUP(B83, 'MLB Data'!$B$5:$D$34, 3, FALSE)</f>
        <v/>
      </c>
      <c r="D83" s="16" t="inlineStr">
        <is>
          <t>FREELAND</t>
        </is>
      </c>
      <c r="E83" s="17" t="n">
        <v>6.06</v>
      </c>
      <c r="F83" s="17">
        <f>VLOOKUP(B83, 'MLB Data'!$F$2:$H$34, 3, FALSE)</f>
        <v/>
      </c>
      <c r="G83" s="19">
        <f>IF((E83*0.6+F83*0.4)&lt;2.5, 2.8, IF((E83*0.6+F83*0.4)&gt;5.5, 5.2, (E83*0.6+F83*0.4)))</f>
        <v/>
      </c>
      <c r="H83" s="15" t="inlineStr">
        <is>
          <t>BLUE JAYS</t>
        </is>
      </c>
      <c r="I83">
        <f>VLOOKUP(H83, 'MLB Data'!$B$5:$D$34, 3, FALSE)</f>
        <v/>
      </c>
      <c r="J83" s="16" t="inlineStr">
        <is>
          <t>GAUSMAN</t>
        </is>
      </c>
      <c r="K83" s="17" t="n">
        <v>0.02</v>
      </c>
      <c r="L83" s="17">
        <f>VLOOKUP(H83, 'MLB Data'!$F$2:$H$34, 3, FALSE)</f>
        <v/>
      </c>
      <c r="M83" s="17">
        <f>IF((K83*0.6+L83*0.4)&lt;2.5, 2.8, IF((K83*0.6+L83*0.4)&gt;5.5, 5.2, (K83*0.6+L83*0.4)))</f>
        <v/>
      </c>
      <c r="O83" s="18">
        <f>(C83/100) * 4.45 * (M83 / 4.2) * T83</f>
        <v/>
      </c>
      <c r="P83" s="18">
        <f>(I83/100) * 4.45 * (G83 / 4.2) * T83</f>
        <v/>
      </c>
      <c r="Q83" s="18">
        <f>(O83+P83)</f>
        <v/>
      </c>
      <c r="S83" s="15">
        <f>H83</f>
        <v/>
      </c>
      <c r="T83" s="19">
        <f>IF(S83="ROCKIES",1.13,IF(S83="ATHLETICS",1.03,IF(S83="ROYALS",1.03,IF(S83="TWINS",1,IF(S83="TIGERS",1,IF(S83="MARLINS",1.01,IF(S83="REDS",1.05,IF(S83="RED SOX",1.04,IF(S83="YANKEES",1.02,IF(S83="DODGERS",0.99,IF(S83="PADRES",0.96,IF(S83="CUBS",0.98,IF(S83="GIANTS",0.97,IF(S83="MARINERS",0.94,IF(S83="RANGERS",1,IF(S83="ASTROS",0.99,IF(S83="BRAVES",1,IF(S83="METS",0.96,IF(S83="PHILLIES",1.02,IF(S83="BLUE JAYS",1.01,IF(S83="ORIOLES",0.99,IF(S83="RAYS",1.01,IF(S83="GUARDIANS",0.99,IF(S83="WHITE SOX",0.98,IF(S83="ANGELS",1.01,IF(S83="D-BACKS",1.01,IF(S83="BREWERS",0.99,IF(S83="CARDINALS",0.96,IF(S83="PIRATES",1.02,IF(S83="NATIONALS",1,1))))))))))))))))))))))))))))))*IF(W83="",1,(1+((W83-70)/10*0.035)))*IF(U83="DOME",1,IF(U83="IN",1-(V83*0.01),IF(U83="OUT",1+(V83*0.01),IF(OR(U83="L-R",U83="R-L"),1+(V83*0.005),1))))</f>
        <v/>
      </c>
      <c r="U83" s="15" t="inlineStr">
        <is>
          <t>DOME</t>
        </is>
      </c>
      <c r="V83" s="15" t="n"/>
      <c r="W83" s="15" t="n"/>
      <c r="Y83">
        <f>B83 &amp; " vs. " &amp; H83</f>
        <v/>
      </c>
      <c r="Z83">
        <f>TRIM(LEFT(Y83, FIND("vs.", Y83)-1))</f>
        <v/>
      </c>
      <c r="AA83">
        <f>TRIM(MID(Y83, FIND(" vs. ", Y83)+4, 100))</f>
        <v/>
      </c>
      <c r="AB83">
        <f>IF(Q83 &gt; VALUE(AC83), "O " &amp; AC83, IF(Q83 &lt; VALUE(AC83), "U " &amp; AC83, AC83))</f>
        <v/>
      </c>
      <c r="AC83" s="15">
        <f>IF(OR(O83="-", P83="-"), "-", MROUND(O83 + P83, 0.5))</f>
        <v/>
      </c>
      <c r="AD83" s="15">
        <f>VALUE(TRIM(RIGHT(AF83, LEN(AF83) - FIND(" ", AF83))))</f>
        <v/>
      </c>
      <c r="AE83" s="15">
        <f>LEFT(AF83,FIND(" ",AF83)-1)</f>
        <v/>
      </c>
      <c r="AF83" s="15">
        <f>IF(OR(O83="-", P83="-"), "-",
IF(MROUND(ABS(O83-P83),0.5)&lt;=0.5,
IF(O83&gt;P83, B83 &amp; " ML", H83 &amp; " ML"),
IF(MROUND(ABS(O83-P83),0.5)=1,
IF(O83&gt;P83, H83 &amp; " +1.5", B83 &amp; " +1.5"),
IF(O83&gt;P83, B83 &amp; " -1.5", H83 &amp; " -1.5")
)
)
)</f>
        <v/>
      </c>
      <c r="AG83" s="15">
        <f>_xlfn.LET(
_xlpm.winA, O83^1.83 / (O83^1.83 + P83^1.83),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84">
      <c r="A84" s="14" t="n">
        <v>46113</v>
      </c>
      <c r="B84" s="15" t="inlineStr">
        <is>
          <t>WHITE SOX</t>
        </is>
      </c>
      <c r="C84">
        <f>VLOOKUP(B84, 'MLB Data'!$B$5:$D$34, 3, FALSE)</f>
        <v/>
      </c>
      <c r="D84" s="16" t="inlineStr">
        <is>
          <t>SMITH</t>
        </is>
      </c>
      <c r="E84" s="17" t="n">
        <v>7.06</v>
      </c>
      <c r="F84" s="17">
        <f>VLOOKUP(B84, 'MLB Data'!$F$2:$H$34, 3, FALSE)</f>
        <v/>
      </c>
      <c r="G84" s="19">
        <f>IF((E84*0.6+F84*0.4)&lt;2.5, 2.8, IF((E84*0.6+F84*0.4)&gt;5.5, 5.2, (E84*0.6+F84*0.4)))</f>
        <v/>
      </c>
      <c r="H84" s="15" t="inlineStr">
        <is>
          <t>MARLINS</t>
        </is>
      </c>
      <c r="I84">
        <f>VLOOKUP(H84, 'MLB Data'!$B$5:$D$34, 3, FALSE)</f>
        <v/>
      </c>
      <c r="J84" s="16" t="inlineStr">
        <is>
          <t>ALCANTARA</t>
        </is>
      </c>
      <c r="K84" s="17" t="n">
        <v>3.9</v>
      </c>
      <c r="L84" s="17">
        <f>VLOOKUP(H84, 'MLB Data'!$F$2:$H$34, 3, FALSE)</f>
        <v/>
      </c>
      <c r="M84" s="17">
        <f>IF((K84*0.6+L84*0.4)&lt;2.5, 2.8, IF((K84*0.6+L84*0.4)&gt;5.5, 5.2, (K84*0.6+L84*0.4)))</f>
        <v/>
      </c>
      <c r="O84" s="18">
        <f>(C84/100) * 4.45 * (M84 / 4.2) * T84</f>
        <v/>
      </c>
      <c r="P84" s="18">
        <f>(I84/100) * 4.45 * (G84 / 4.2) * T84</f>
        <v/>
      </c>
      <c r="Q84" s="18">
        <f>(O84+P84)</f>
        <v/>
      </c>
      <c r="S84" s="15">
        <f>H84</f>
        <v/>
      </c>
      <c r="T84" s="19">
        <f>IF(S84="ROCKIES",1.13,IF(S84="ATHLETICS",1.03,IF(S84="ROYALS",1.03,IF(S84="TWINS",1,IF(S84="TIGERS",1,IF(S84="MARLINS",1.01,IF(S84="REDS",1.05,IF(S84="RED SOX",1.04,IF(S84="YANKEES",1.02,IF(S84="DODGERS",0.99,IF(S84="PADRES",0.96,IF(S84="CUBS",0.98,IF(S84="GIANTS",0.97,IF(S84="MARINERS",0.94,IF(S84="RANGERS",1,IF(S84="ASTROS",0.99,IF(S84="BRAVES",1,IF(S84="METS",0.96,IF(S84="PHILLIES",1.02,IF(S84="BLUE JAYS",1.01,IF(S84="ORIOLES",0.99,IF(S84="RAYS",1.01,IF(S84="GUARDIANS",0.99,IF(S84="WHITE SOX",0.98,IF(S84="ANGELS",1.01,IF(S84="D-BACKS",1.01,IF(S84="BREWERS",0.99,IF(S84="CARDINALS",0.96,IF(S84="PIRATES",1.02,IF(S84="NATIONALS",1,1))))))))))))))))))))))))))))))*IF(W84="",1,(1+((W84-70)/10*0.035)))*IF(U84="DOME",1,IF(U84="IN",1-(V84*0.01),IF(U84="OUT",1+(V84*0.01),IF(OR(U84="L-R",U84="R-L"),1+(V84*0.005),1))))</f>
        <v/>
      </c>
      <c r="U84" s="15" t="inlineStr">
        <is>
          <t>OUT</t>
        </is>
      </c>
      <c r="V84" s="15" t="n"/>
      <c r="W84" s="15" t="n">
        <v>63</v>
      </c>
      <c r="Y84">
        <f>B84 &amp; " vs. " &amp; H84</f>
        <v/>
      </c>
      <c r="Z84">
        <f>TRIM(LEFT(Y84, FIND("vs.", Y84)-1))</f>
        <v/>
      </c>
      <c r="AA84">
        <f>TRIM(MID(Y84, FIND(" vs. ", Y84)+4, 100))</f>
        <v/>
      </c>
      <c r="AB84">
        <f>IF(Q84 &gt; VALUE(AC84), "O " &amp; AC84, IF(Q84 &lt; VALUE(AC84), "U " &amp; AC84, AC84))</f>
        <v/>
      </c>
      <c r="AC84" s="15">
        <f>IF(OR(O84="-", P84="-"), "-", MROUND(O84 + P84, 0.5))</f>
        <v/>
      </c>
      <c r="AD84" s="15">
        <f>VALUE(TRIM(RIGHT(AF84, LEN(AF84) - FIND(" ", AF84))))</f>
        <v/>
      </c>
      <c r="AE84" s="15">
        <f>LEFT(AF84,FIND(" ",AF84)-1)</f>
        <v/>
      </c>
      <c r="AF84" s="15">
        <f>IF(OR(O84="-", P84="-"), "-",
IF(MROUND(ABS(O84-P84),0.5)&lt;=0.5,
IF(O84&gt;P84, B84 &amp; " ML", H84 &amp; " ML"),
IF(MROUND(ABS(O84-P84),0.5)=1,
IF(O84&gt;P84, H84 &amp; " +1.5", B84 &amp; " +1.5"),
IF(O84&gt;P84, B84 &amp; " -1.5", H84 &amp; " -1.5")
)
)
)</f>
        <v/>
      </c>
      <c r="AG84" s="15">
        <f>_xlfn.LET(
_xlpm.winA, O84^1.83 / (O84^1.83 + P84^1.83),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85">
      <c r="A85" s="14" t="n">
        <v>46113</v>
      </c>
      <c r="B85" s="15" t="inlineStr">
        <is>
          <t>RAYS</t>
        </is>
      </c>
      <c r="C85">
        <f>VLOOKUP(B85, 'MLB Data'!$B$5:$D$34, 3, FALSE)</f>
        <v/>
      </c>
      <c r="D85" s="16" t="inlineStr">
        <is>
          <t>RASMUSSEN</t>
        </is>
      </c>
      <c r="E85" s="17" t="n">
        <v>3.88</v>
      </c>
      <c r="F85" s="17">
        <f>VLOOKUP(B85, 'MLB Data'!$F$2:$H$34, 3, FALSE)</f>
        <v/>
      </c>
      <c r="G85" s="19">
        <f>IF((E85*0.6+F85*0.4)&lt;2.5, 2.8, IF((E85*0.6+F85*0.4)&gt;5.5, 5.2, (E85*0.6+F85*0.4)))</f>
        <v/>
      </c>
      <c r="H85" s="15" t="inlineStr">
        <is>
          <t>BREWERS</t>
        </is>
      </c>
      <c r="I85">
        <f>VLOOKUP(H85, 'MLB Data'!$B$5:$D$34, 3, FALSE)</f>
        <v/>
      </c>
      <c r="J85" s="16" t="inlineStr">
        <is>
          <t>MISIOROWSKI</t>
        </is>
      </c>
      <c r="K85" s="17" t="n">
        <v>1.49</v>
      </c>
      <c r="L85" s="17">
        <f>VLOOKUP(H85, 'MLB Data'!$F$2:$H$34, 3, FALSE)</f>
        <v/>
      </c>
      <c r="M85" s="17">
        <f>IF((K85*0.6+L85*0.4)&lt;2.5, 2.8, IF((K85*0.6+L85*0.4)&gt;5.5, 5.2, (K85*0.6+L85*0.4)))</f>
        <v/>
      </c>
      <c r="O85" s="18">
        <f>(C85/100) * 4.45 * (M85 / 4.2) * T85</f>
        <v/>
      </c>
      <c r="P85" s="18">
        <f>(I85/100) * 4.45 * (G85 / 4.2) * T85</f>
        <v/>
      </c>
      <c r="Q85" s="18">
        <f>(O85+P85)</f>
        <v/>
      </c>
      <c r="S85" s="15">
        <f>H85</f>
        <v/>
      </c>
      <c r="T85" s="19">
        <f>IF(S85="ROCKIES",1.13,IF(S85="ATHLETICS",1.03,IF(S85="ROYALS",1.03,IF(S85="TWINS",1,IF(S85="TIGERS",1,IF(S85="MARLINS",1.01,IF(S85="REDS",1.05,IF(S85="RED SOX",1.04,IF(S85="YANKEES",1.02,IF(S85="DODGERS",0.99,IF(S85="PADRES",0.96,IF(S85="CUBS",0.98,IF(S85="GIANTS",0.97,IF(S85="MARINERS",0.94,IF(S85="RANGERS",1,IF(S85="ASTROS",0.99,IF(S85="BRAVES",1,IF(S85="METS",0.96,IF(S85="PHILLIES",1.02,IF(S85="BLUE JAYS",1.01,IF(S85="ORIOLES",0.99,IF(S85="RAYS",1.01,IF(S85="GUARDIANS",0.99,IF(S85="WHITE SOX",0.98,IF(S85="ANGELS",1.01,IF(S85="D-BACKS",1.01,IF(S85="BREWERS",0.99,IF(S85="CARDINALS",0.96,IF(S85="PIRATES",1.02,IF(S85="NATIONALS",1,1))))))))))))))))))))))))))))))*IF(W85="",1,(1+((W85-70)/10*0.035)))*IF(U85="DOME",1,IF(U85="IN",1-(V85*0.01),IF(U85="OUT",1+(V85*0.01),IF(OR(U85="L-R",U85="R-L"),1+(V85*0.005),1))))</f>
        <v/>
      </c>
      <c r="U85" s="15" t="inlineStr">
        <is>
          <t>DOME</t>
        </is>
      </c>
      <c r="V85" s="15" t="n"/>
      <c r="W85" s="15" t="n"/>
      <c r="Y85">
        <f>B85 &amp; " vs. " &amp; H85</f>
        <v/>
      </c>
      <c r="Z85">
        <f>TRIM(LEFT(Y85, FIND("vs.", Y85)-1))</f>
        <v/>
      </c>
      <c r="AA85">
        <f>TRIM(MID(Y85, FIND(" vs. ", Y85)+4, 100))</f>
        <v/>
      </c>
      <c r="AB85">
        <f>IF(Q85 &gt; VALUE(AC85), "O " &amp; AC85, IF(Q85 &lt; VALUE(AC85), "U " &amp; AC85, AC85))</f>
        <v/>
      </c>
      <c r="AC85" s="15">
        <f>IF(OR(O85="-", P85="-"), "-", MROUND(O85 + P85, 0.5))</f>
        <v/>
      </c>
      <c r="AD85" s="15">
        <f>VALUE(TRIM(RIGHT(AF85, LEN(AF85) - FIND(" ", AF85))))</f>
        <v/>
      </c>
      <c r="AE85" s="15">
        <f>LEFT(AF85,FIND(" ",AF85)-1)</f>
        <v/>
      </c>
      <c r="AF85" s="15">
        <f>IF(OR(O85="-", P85="-"), "-",
IF(MROUND(ABS(O85-P85),0.5)&lt;=0.5,
IF(O85&gt;P85, B85 &amp; " ML", H85 &amp; " ML"),
IF(MROUND(ABS(O85-P85),0.5)=1,
IF(O85&gt;P85, H85 &amp; " +1.5", B85 &amp; " +1.5"),
IF(O85&gt;P85, B85 &amp; " -1.5", H85 &amp; " -1.5")
)
)
)</f>
        <v/>
      </c>
      <c r="AG85" s="15">
        <f>_xlfn.LET(
_xlpm.winA, O85^1.83 / (O85^1.83 + P85^1.83),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86">
      <c r="A86" s="14" t="n">
        <v>46113</v>
      </c>
      <c r="B86" s="15" t="inlineStr">
        <is>
          <t>RED SOX</t>
        </is>
      </c>
      <c r="C86">
        <f>VLOOKUP(B86, 'MLB Data'!$B$5:$D$34, 3, FALSE)</f>
        <v/>
      </c>
      <c r="D86" s="16" t="inlineStr">
        <is>
          <t>CROCHET</t>
        </is>
      </c>
      <c r="E86" s="17" t="n">
        <v>2.52</v>
      </c>
      <c r="F86" s="17">
        <f>VLOOKUP(B86, 'MLB Data'!$F$2:$H$34, 3, FALSE)</f>
        <v/>
      </c>
      <c r="G86" s="19">
        <f>IF((E86*0.6+F86*0.4)&lt;2.5, 2.8, IF((E86*0.6+F86*0.4)&gt;5.5, 5.2, (E86*0.6+F86*0.4)))</f>
        <v/>
      </c>
      <c r="H86" s="15" t="inlineStr">
        <is>
          <t>ASTROS</t>
        </is>
      </c>
      <c r="I86">
        <f>VLOOKUP(H86, 'MLB Data'!$B$5:$D$34, 3, FALSE)</f>
        <v/>
      </c>
      <c r="J86" s="16" t="inlineStr">
        <is>
          <t>BURROWS</t>
        </is>
      </c>
      <c r="K86" s="17" t="n">
        <v>4.75</v>
      </c>
      <c r="L86" s="17">
        <f>VLOOKUP(H86, 'MLB Data'!$F$2:$H$34, 3, FALSE)</f>
        <v/>
      </c>
      <c r="M86" s="17">
        <f>IF((K86*0.6+L86*0.4)&lt;2.5, 2.8, IF((K86*0.6+L86*0.4)&gt;5.5, 5.2, (K86*0.6+L86*0.4)))</f>
        <v/>
      </c>
      <c r="O86" s="18">
        <f>(C86/100) * 4.45 * (M86 / 4.2) * T86</f>
        <v/>
      </c>
      <c r="P86" s="18">
        <f>(I86/100) * 4.45 * (G86 / 4.2) * T86</f>
        <v/>
      </c>
      <c r="Q86" s="18">
        <f>(O86+P86)</f>
        <v/>
      </c>
      <c r="S86" s="15">
        <f>H86</f>
        <v/>
      </c>
      <c r="T86" s="19">
        <f>IF(S86="ROCKIES",1.13,IF(S86="ATHLETICS",1.03,IF(S86="ROYALS",1.03,IF(S86="TWINS",1,IF(S86="TIGERS",1,IF(S86="MARLINS",1.01,IF(S86="REDS",1.05,IF(S86="RED SOX",1.04,IF(S86="YANKEES",1.02,IF(S86="DODGERS",0.99,IF(S86="PADRES",0.96,IF(S86="CUBS",0.98,IF(S86="GIANTS",0.97,IF(S86="MARINERS",0.94,IF(S86="RANGERS",1,IF(S86="ASTROS",0.99,IF(S86="BRAVES",1,IF(S86="METS",0.96,IF(S86="PHILLIES",1.02,IF(S86="BLUE JAYS",1.01,IF(S86="ORIOLES",0.99,IF(S86="RAYS",1.01,IF(S86="GUARDIANS",0.99,IF(S86="WHITE SOX",0.98,IF(S86="ANGELS",1.01,IF(S86="D-BACKS",1.01,IF(S86="BREWERS",0.99,IF(S86="CARDINALS",0.96,IF(S86="PIRATES",1.02,IF(S86="NATIONALS",1,1))))))))))))))))))))))))))))))*IF(W86="",1,(1+((W86-70)/10*0.035)))*IF(U86="DOME",1,IF(U86="IN",1-(V86*0.01),IF(U86="OUT",1+(V86*0.01),IF(OR(U86="L-R",U86="R-L"),1+(V86*0.005),1))))</f>
        <v/>
      </c>
      <c r="U86" s="15" t="inlineStr">
        <is>
          <t>DOME</t>
        </is>
      </c>
      <c r="V86" s="15" t="n"/>
      <c r="W86" s="15" t="n"/>
      <c r="Y86">
        <f>B86 &amp; " vs. " &amp; H86</f>
        <v/>
      </c>
      <c r="Z86">
        <f>TRIM(LEFT(Y86, FIND("vs.", Y86)-1))</f>
        <v/>
      </c>
      <c r="AA86">
        <f>TRIM(MID(Y86, FIND(" vs. ", Y86)+4, 100))</f>
        <v/>
      </c>
      <c r="AB86">
        <f>IF(Q86 &gt; VALUE(AC86), "O " &amp; AC86, IF(Q86 &lt; VALUE(AC86), "U " &amp; AC86, AC86))</f>
        <v/>
      </c>
      <c r="AC86" s="15">
        <f>IF(OR(O86="-", P86="-"), "-", MROUND(O86 + P86, 0.5))</f>
        <v/>
      </c>
      <c r="AD86" s="15">
        <f>VALUE(TRIM(RIGHT(AF86, LEN(AF86) - FIND(" ", AF86))))</f>
        <v/>
      </c>
      <c r="AE86" s="15">
        <f>LEFT(AF86,FIND(" ",AF86)-1)</f>
        <v/>
      </c>
      <c r="AF86" s="15">
        <f>IF(OR(O86="-", P86="-"), "-",
IF(MROUND(ABS(O86-P86),0.5)&lt;=0.5,
IF(O86&gt;P86, B86 &amp; " ML", H86 &amp; " ML"),
IF(MROUND(ABS(O86-P86),0.5)=1,
IF(O86&gt;P86, H86 &amp; " +1.5", B86 &amp; " +1.5"),
IF(O86&gt;P86, B86 &amp; " -1.5", H86 &amp; " -1.5")
)
)
)</f>
        <v/>
      </c>
      <c r="AG86" s="15">
        <f>_xlfn.LET(
_xlpm.winA, O86^1.83 / (O86^1.83 + P86^1.83),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87">
      <c r="A87" s="14" t="n">
        <v>46113</v>
      </c>
      <c r="B87" s="15" t="inlineStr">
        <is>
          <t>ANGELS</t>
        </is>
      </c>
      <c r="C87">
        <f>VLOOKUP(B87, 'MLB Data'!$B$5:$D$34, 3, FALSE)</f>
        <v/>
      </c>
      <c r="D87" s="16" t="inlineStr">
        <is>
          <t>KIKUCHI</t>
        </is>
      </c>
      <c r="E87" s="17" t="n">
        <v>4.56</v>
      </c>
      <c r="F87" s="17">
        <f>VLOOKUP(B87, 'MLB Data'!$F$2:$H$34, 3, FALSE)</f>
        <v/>
      </c>
      <c r="G87" s="19">
        <f>IF((E87*0.6+F87*0.4)&lt;2.5, 2.8, IF((E87*0.6+F87*0.4)&gt;5.5, 5.2, (E87*0.6+F87*0.4)))</f>
        <v/>
      </c>
      <c r="H87" s="15" t="inlineStr">
        <is>
          <t>CUBS</t>
        </is>
      </c>
      <c r="I87">
        <f>VLOOKUP(H87, 'MLB Data'!$B$5:$D$34, 3, FALSE)</f>
        <v/>
      </c>
      <c r="J87" s="16" t="inlineStr">
        <is>
          <t>BOYD</t>
        </is>
      </c>
      <c r="K87" s="17" t="n">
        <v>2.22</v>
      </c>
      <c r="L87" s="17">
        <f>VLOOKUP(H87, 'MLB Data'!$F$2:$H$34, 3, FALSE)</f>
        <v/>
      </c>
      <c r="M87" s="17">
        <f>IF((K87*0.6+L87*0.4)&lt;2.5, 2.8, IF((K87*0.6+L87*0.4)&gt;5.5, 5.2, (K87*0.6+L87*0.4)))</f>
        <v/>
      </c>
      <c r="O87" s="18">
        <f>(C87/100) * 4.45 * (M87 / 4.2) * T87</f>
        <v/>
      </c>
      <c r="P87" s="18">
        <f>(I87/100) * 4.45 * (G87 / 4.2) * T87</f>
        <v/>
      </c>
      <c r="Q87" s="18">
        <f>(O87+P87)</f>
        <v/>
      </c>
      <c r="S87" s="15">
        <f>H87</f>
        <v/>
      </c>
      <c r="T87" s="19">
        <f>IF(S87="ROCKIES",1.13,IF(S87="ATHLETICS",1.03,IF(S87="ROYALS",1.03,IF(S87="TWINS",1,IF(S87="TIGERS",1,IF(S87="MARLINS",1.01,IF(S87="REDS",1.05,IF(S87="RED SOX",1.04,IF(S87="YANKEES",1.02,IF(S87="DODGERS",0.99,IF(S87="PADRES",0.96,IF(S87="CUBS",0.98,IF(S87="GIANTS",0.97,IF(S87="MARINERS",0.94,IF(S87="RANGERS",1,IF(S87="ASTROS",0.99,IF(S87="BRAVES",1,IF(S87="METS",0.96,IF(S87="PHILLIES",1.02,IF(S87="BLUE JAYS",1.01,IF(S87="ORIOLES",0.99,IF(S87="RAYS",1.01,IF(S87="GUARDIANS",0.99,IF(S87="WHITE SOX",0.98,IF(S87="ANGELS",1.01,IF(S87="D-BACKS",1.01,IF(S87="BREWERS",0.99,IF(S87="CARDINALS",0.96,IF(S87="PIRATES",1.02,IF(S87="NATIONALS",1,1))))))))))))))))))))))))))))))*IF(W87="",1,(1+((W87-70)/10*0.035)))*IF(U87="DOME",1,IF(U87="IN",1-(V87*0.01),IF(U87="OUT",1+(V87*0.01),IF(OR(U87="L-R",U87="R-L"),1+(V87*0.005),1))))</f>
        <v/>
      </c>
      <c r="U87" s="15" t="inlineStr">
        <is>
          <t>IN</t>
        </is>
      </c>
      <c r="V87" s="15" t="n"/>
      <c r="W87" s="15" t="n">
        <v>38</v>
      </c>
      <c r="Y87">
        <f>B87 &amp; " vs. " &amp; H87</f>
        <v/>
      </c>
      <c r="Z87">
        <f>TRIM(LEFT(Y87, FIND("vs.", Y87)-1))</f>
        <v/>
      </c>
      <c r="AA87">
        <f>TRIM(MID(Y87, FIND(" vs. ", Y87)+4, 100))</f>
        <v/>
      </c>
      <c r="AB87">
        <f>IF(Q87 &gt; VALUE(AC87), "O " &amp; AC87, IF(Q87 &lt; VALUE(AC87), "U " &amp; AC87, AC87))</f>
        <v/>
      </c>
      <c r="AC87" s="15">
        <f>IF(OR(O87="-", P87="-"), "-", MROUND(O87 + P87, 0.5))</f>
        <v/>
      </c>
      <c r="AD87" s="15">
        <f>VALUE(TRIM(RIGHT(AF87, LEN(AF87) - FIND(" ", AF87))))</f>
        <v/>
      </c>
      <c r="AE87" s="15">
        <f>LEFT(AF87,FIND(" ",AF87)-1)</f>
        <v/>
      </c>
      <c r="AF87" s="15">
        <f>IF(OR(O87="-", P87="-"), "-",
IF(MROUND(ABS(O87-P87),0.5)&lt;=0.5,
IF(O87&gt;P87, B87 &amp; " ML", H87 &amp; " ML"),
IF(MROUND(ABS(O87-P87),0.5)=1,
IF(O87&gt;P87, H87 &amp; " +1.5", B87 &amp; " +1.5"),
IF(O87&gt;P87, B87 &amp; " -1.5", H87 &amp; " -1.5")
)
)
)</f>
        <v/>
      </c>
      <c r="AG87" s="15">
        <f>_xlfn.LET(
_xlpm.winA, O87^1.83 / (O87^1.83 + P87^1.83),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88">
      <c r="A88" s="14" t="n">
        <v>46113</v>
      </c>
      <c r="B88" s="15" t="inlineStr">
        <is>
          <t>TIGERS</t>
        </is>
      </c>
      <c r="C88">
        <f>VLOOKUP(B88, 'MLB Data'!$B$5:$D$34, 3, FALSE)</f>
        <v/>
      </c>
      <c r="D88" s="16" t="inlineStr">
        <is>
          <t>SKUBAL</t>
        </is>
      </c>
      <c r="E88" s="17" t="n">
        <v>2.68</v>
      </c>
      <c r="F88" s="17">
        <f>VLOOKUP(B88, 'MLB Data'!$F$2:$H$34, 3, FALSE)</f>
        <v/>
      </c>
      <c r="G88" s="19">
        <f>IF((E88*0.6+F88*0.4)&lt;2.5, 2.8, IF((E88*0.6+F88*0.4)&gt;5.5, 5.2, (E88*0.6+F88*0.4)))</f>
        <v/>
      </c>
      <c r="H88" s="15" t="inlineStr">
        <is>
          <t>D-BACKS</t>
        </is>
      </c>
      <c r="I88">
        <f>VLOOKUP(H88, 'MLB Data'!$B$5:$D$34, 3, FALSE)</f>
        <v/>
      </c>
      <c r="J88" s="16" t="inlineStr">
        <is>
          <t>GALLEN</t>
        </is>
      </c>
      <c r="K88" s="17" t="n">
        <v>4.81</v>
      </c>
      <c r="L88" s="17">
        <f>VLOOKUP(H88, 'MLB Data'!$F$2:$H$34, 3, FALSE)</f>
        <v/>
      </c>
      <c r="M88" s="17">
        <f>IF((K88*0.6+L88*0.4)&lt;2.5, 2.8, IF((K88*0.6+L88*0.4)&gt;5.5, 5.2, (K88*0.6+L88*0.4)))</f>
        <v/>
      </c>
      <c r="O88" s="18">
        <f>(C88/100) * 4.45 * (M88 / 4.2) * T88</f>
        <v/>
      </c>
      <c r="P88" s="18">
        <f>(I88/100) * 4.45 * (G88 / 4.2) * T88</f>
        <v/>
      </c>
      <c r="Q88" s="18">
        <f>(O88+P88)</f>
        <v/>
      </c>
      <c r="S88" s="15">
        <f>H88</f>
        <v/>
      </c>
      <c r="T88" s="19">
        <f>IF(S88="ROCKIES",1.13,IF(S88="ATHLETICS",1.03,IF(S88="ROYALS",1.03,IF(S88="TWINS",1,IF(S88="TIGERS",1,IF(S88="MARLINS",1.01,IF(S88="REDS",1.05,IF(S88="RED SOX",1.04,IF(S88="YANKEES",1.02,IF(S88="DODGERS",0.99,IF(S88="PADRES",0.96,IF(S88="CUBS",0.98,IF(S88="GIANTS",0.97,IF(S88="MARINERS",0.94,IF(S88="RANGERS",1,IF(S88="ASTROS",0.99,IF(S88="BRAVES",1,IF(S88="METS",0.96,IF(S88="PHILLIES",1.02,IF(S88="BLUE JAYS",1.01,IF(S88="ORIOLES",0.99,IF(S88="RAYS",1.01,IF(S88="GUARDIANS",0.99,IF(S88="WHITE SOX",0.98,IF(S88="ANGELS",1.01,IF(S88="D-BACKS",1.01,IF(S88="BREWERS",0.99,IF(S88="CARDINALS",0.96,IF(S88="PIRATES",1.02,IF(S88="NATIONALS",1,1))))))))))))))))))))))))))))))*IF(W88="",1,(1+((W88-70)/10*0.035)))*IF(U88="DOME",1,IF(U88="IN",1-(V88*0.01),IF(U88="OUT",1+(V88*0.01),IF(OR(U88="L-R",U88="R-L"),1+(V88*0.005),1))))</f>
        <v/>
      </c>
      <c r="U88" s="15" t="inlineStr">
        <is>
          <t>DOME</t>
        </is>
      </c>
      <c r="V88" s="15" t="n"/>
      <c r="W88" s="15" t="n"/>
      <c r="Y88">
        <f>B88 &amp; " vs. " &amp; H88</f>
        <v/>
      </c>
      <c r="Z88">
        <f>TRIM(LEFT(Y88, FIND("vs.", Y88)-1))</f>
        <v/>
      </c>
      <c r="AA88">
        <f>TRIM(MID(Y88, FIND(" vs. ", Y88)+4, 100))</f>
        <v/>
      </c>
      <c r="AB88">
        <f>IF(Q88 &gt; VALUE(AC88), "O " &amp; AC88, IF(Q88 &lt; VALUE(AC88), "U " &amp; AC88, AC88))</f>
        <v/>
      </c>
      <c r="AC88" s="15">
        <f>IF(OR(O88="-", P88="-"), "-", MROUND(O88 + P88, 0.5))</f>
        <v/>
      </c>
      <c r="AD88" s="15">
        <f>VALUE(TRIM(RIGHT(AF88, LEN(AF88) - FIND(" ", AF88))))</f>
        <v/>
      </c>
      <c r="AE88" s="15">
        <f>LEFT(AF88,FIND(" ",AF88)-1)</f>
        <v/>
      </c>
      <c r="AF88" s="15">
        <f>IF(OR(O88="-", P88="-"), "-",
IF(MROUND(ABS(O88-P88),0.5)&lt;=0.5,
IF(O88&gt;P88, B88 &amp; " ML", H88 &amp; " ML"),
IF(MROUND(ABS(O88-P88),0.5)=1,
IF(O88&gt;P88, H88 &amp; " +1.5", B88 &amp; " +1.5"),
IF(O88&gt;P88, B88 &amp; " -1.5", H88 &amp; " -1.5")
)
)
)</f>
        <v/>
      </c>
      <c r="AG88" s="15">
        <f>_xlfn.LET(
_xlpm.winA, O88^1.83 / (O88^1.83 + P88^1.83),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89">
      <c r="A89" s="14" t="n">
        <v>46113</v>
      </c>
      <c r="B89" s="15" t="inlineStr">
        <is>
          <t>GIANTS</t>
        </is>
      </c>
      <c r="C89">
        <f>VLOOKUP(B89, 'MLB Data'!$B$5:$D$34, 3, FALSE)</f>
        <v/>
      </c>
      <c r="D89" s="16" t="inlineStr">
        <is>
          <t>HOUSER</t>
        </is>
      </c>
      <c r="E89" s="17" t="n">
        <v>4.3</v>
      </c>
      <c r="F89" s="17">
        <f>VLOOKUP(B89, 'MLB Data'!$F$2:$H$34, 3, FALSE)</f>
        <v/>
      </c>
      <c r="G89" s="19">
        <f>IF((E89*0.6+F89*0.4)&lt;2.5, 2.8, IF((E89*0.6+F89*0.4)&gt;5.5, 5.2, (E89*0.6+F89*0.4)))</f>
        <v/>
      </c>
      <c r="H89" s="15" t="inlineStr">
        <is>
          <t>PADRES</t>
        </is>
      </c>
      <c r="I89">
        <f>VLOOKUP(H89, 'MLB Data'!$B$5:$D$34, 3, FALSE)</f>
        <v/>
      </c>
      <c r="J89" s="16" t="inlineStr">
        <is>
          <t>PIVETTA</t>
        </is>
      </c>
      <c r="K89" s="17" t="n">
        <v>7.98</v>
      </c>
      <c r="L89" s="17">
        <f>VLOOKUP(H89, 'MLB Data'!$F$2:$H$34, 3, FALSE)</f>
        <v/>
      </c>
      <c r="M89" s="17">
        <f>IF((K89*0.6+L89*0.4)&lt;2.5, 2.8, IF((K89*0.6+L89*0.4)&gt;5.5, 5.2, (K89*0.6+L89*0.4)))</f>
        <v/>
      </c>
      <c r="O89" s="18">
        <f>(C89/100) * 4.45 * (M89 / 4.2) * T89</f>
        <v/>
      </c>
      <c r="P89" s="18">
        <f>(I89/100) * 4.45 * (G89 / 4.2) * T89</f>
        <v/>
      </c>
      <c r="Q89" s="18">
        <f>(O89+P89)</f>
        <v/>
      </c>
      <c r="S89" s="15">
        <f>H89</f>
        <v/>
      </c>
      <c r="T89" s="19">
        <f>IF(S89="ROCKIES",1.13,IF(S89="ATHLETICS",1.03,IF(S89="ROYALS",1.03,IF(S89="TWINS",1,IF(S89="TIGERS",1,IF(S89="MARLINS",1.01,IF(S89="REDS",1.05,IF(S89="RED SOX",1.04,IF(S89="YANKEES",1.02,IF(S89="DODGERS",0.99,IF(S89="PADRES",0.96,IF(S89="CUBS",0.98,IF(S89="GIANTS",0.97,IF(S89="MARINERS",0.94,IF(S89="RANGERS",1,IF(S89="ASTROS",0.99,IF(S89="BRAVES",1,IF(S89="METS",0.96,IF(S89="PHILLIES",1.02,IF(S89="BLUE JAYS",1.01,IF(S89="ORIOLES",0.99,IF(S89="RAYS",1.01,IF(S89="GUARDIANS",0.99,IF(S89="WHITE SOX",0.98,IF(S89="ANGELS",1.01,IF(S89="D-BACKS",1.01,IF(S89="BREWERS",0.99,IF(S89="CARDINALS",0.96,IF(S89="PIRATES",1.02,IF(S89="NATIONALS",1,1))))))))))))))))))))))))))))))*IF(W89="",1,(1+((W89-70)/10*0.035)))*IF(U89="DOME",1,IF(U89="IN",1-(V89*0.01),IF(U89="OUT",1+(V89*0.01),IF(OR(U89="L-R",U89="R-L"),1+(V89*0.005),1))))</f>
        <v/>
      </c>
      <c r="U89" s="15" t="inlineStr">
        <is>
          <t>OUT</t>
        </is>
      </c>
      <c r="V89" s="15" t="n"/>
      <c r="W89" s="15" t="n">
        <v>67</v>
      </c>
      <c r="Y89">
        <f>B89 &amp; " vs. " &amp; H89</f>
        <v/>
      </c>
      <c r="Z89">
        <f>TRIM(LEFT(Y89, FIND("vs.", Y89)-1))</f>
        <v/>
      </c>
      <c r="AA89">
        <f>TRIM(MID(Y89, FIND(" vs. ", Y89)+4, 100))</f>
        <v/>
      </c>
      <c r="AB89">
        <f>IF(Q89 &gt; VALUE(AC89), "O " &amp; AC89, IF(Q89 &lt; VALUE(AC89), "U " &amp; AC89, AC89))</f>
        <v/>
      </c>
      <c r="AC89" s="15">
        <f>IF(OR(O89="-", P89="-"), "-", MROUND(O89 + P89, 0.5))</f>
        <v/>
      </c>
      <c r="AD89" s="15">
        <f>VALUE(TRIM(RIGHT(AF89, LEN(AF89) - FIND(" ", AF89))))</f>
        <v/>
      </c>
      <c r="AE89" s="15">
        <f>LEFT(AF89,FIND(" ",AF89)-1)</f>
        <v/>
      </c>
      <c r="AF89" s="15">
        <f>IF(OR(O89="-", P89="-"), "-",
IF(MROUND(ABS(O89-P89),0.5)&lt;=0.5,
IF(O89&gt;P89, B89 &amp; " ML", H89 &amp; " ML"),
IF(MROUND(ABS(O89-P89),0.5)=1,
IF(O89&gt;P89, H89 &amp; " +1.5", B89 &amp; " +1.5"),
IF(O89&gt;P89, B89 &amp; " -1.5", H89 &amp; " -1.5")
)
)
)</f>
        <v/>
      </c>
      <c r="AG89" s="15">
        <f>_xlfn.LET(
_xlpm.winA, O89^1.83 / (O89^1.83 + P89^1.83),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90">
      <c r="A90" s="14" t="n">
        <v>46113</v>
      </c>
      <c r="B90" s="15" t="inlineStr">
        <is>
          <t>YANKEES</t>
        </is>
      </c>
      <c r="C90">
        <f>VLOOKUP(B90, 'MLB Data'!$B$5:$D$34, 3, FALSE)</f>
        <v/>
      </c>
      <c r="D90" s="16" t="inlineStr">
        <is>
          <t>SCHLITTLER</t>
        </is>
      </c>
      <c r="E90" s="17" t="n">
        <v>1.31</v>
      </c>
      <c r="F90" s="17">
        <f>VLOOKUP(B90, 'MLB Data'!$F$2:$H$34, 3, FALSE)</f>
        <v/>
      </c>
      <c r="G90" s="19">
        <f>IF((E90*0.6+F90*0.4)&lt;2.5, 2.8, IF((E90*0.6+F90*0.4)&gt;5.5, 5.2, (E90*0.6+F90*0.4)))</f>
        <v/>
      </c>
      <c r="H90" s="15" t="inlineStr">
        <is>
          <t>MARINERS</t>
        </is>
      </c>
      <c r="I90">
        <f>VLOOKUP(H90, 'MLB Data'!$B$5:$D$34, 3, FALSE)</f>
        <v/>
      </c>
      <c r="J90" s="16" t="inlineStr">
        <is>
          <t>KIRBY</t>
        </is>
      </c>
      <c r="K90" s="17" t="n">
        <v>3.69</v>
      </c>
      <c r="L90" s="17">
        <f>VLOOKUP(H90, 'MLB Data'!$F$2:$H$34, 3, FALSE)</f>
        <v/>
      </c>
      <c r="M90" s="17">
        <f>IF((K90*0.6+L90*0.4)&lt;2.5, 2.8, IF((K90*0.6+L90*0.4)&gt;5.5, 5.2, (K90*0.6+L90*0.4)))</f>
        <v/>
      </c>
      <c r="O90" s="18">
        <f>(C90/100) * 4.45 * (M90 / 4.2) * T90</f>
        <v/>
      </c>
      <c r="P90" s="18">
        <f>(I90/100) * 4.45 * (G90 / 4.2) * T90</f>
        <v/>
      </c>
      <c r="Q90" s="18">
        <f>(O90+P90)</f>
        <v/>
      </c>
      <c r="S90" s="15">
        <f>H90</f>
        <v/>
      </c>
      <c r="T90" s="19">
        <f>IF(S90="ROCKIES",1.13,IF(S90="ATHLETICS",1.03,IF(S90="ROYALS",1.03,IF(S90="TWINS",1,IF(S90="TIGERS",1,IF(S90="MARLINS",1.01,IF(S90="REDS",1.05,IF(S90="RED SOX",1.04,IF(S90="YANKEES",1.02,IF(S90="DODGERS",0.99,IF(S90="PADRES",0.96,IF(S90="CUBS",0.98,IF(S90="GIANTS",0.97,IF(S90="MARINERS",0.94,IF(S90="RANGERS",1,IF(S90="ASTROS",0.99,IF(S90="BRAVES",1,IF(S90="METS",0.96,IF(S90="PHILLIES",1.02,IF(S90="BLUE JAYS",1.01,IF(S90="ORIOLES",0.99,IF(S90="RAYS",1.01,IF(S90="GUARDIANS",0.99,IF(S90="WHITE SOX",0.98,IF(S90="ANGELS",1.01,IF(S90="D-BACKS",1.01,IF(S90="BREWERS",0.99,IF(S90="CARDINALS",0.96,IF(S90="PIRATES",1.02,IF(S90="NATIONALS",1,1))))))))))))))))))))))))))))))*IF(W90="",1,(1+((W90-70)/10*0.035)))*IF(U90="DOME",1,IF(U90="IN",1-(V90*0.01),IF(U90="OUT",1+(V90*0.01),IF(OR(U90="L-R",U90="R-L"),1+(V90*0.005),1))))</f>
        <v/>
      </c>
      <c r="U90" s="15" t="inlineStr">
        <is>
          <t>DOME</t>
        </is>
      </c>
      <c r="V90" s="15" t="n"/>
      <c r="W90" s="15" t="n"/>
      <c r="Y90">
        <f>B90 &amp; " vs. " &amp; H90</f>
        <v/>
      </c>
      <c r="Z90">
        <f>TRIM(LEFT(Y90, FIND("vs.", Y90)-1))</f>
        <v/>
      </c>
      <c r="AA90">
        <f>TRIM(MID(Y90, FIND(" vs. ", Y90)+4, 100))</f>
        <v/>
      </c>
      <c r="AB90">
        <f>IF(Q90 &gt; VALUE(AC90), "O " &amp; AC90, IF(Q90 &lt; VALUE(AC90), "U " &amp; AC90, AC90))</f>
        <v/>
      </c>
      <c r="AC90" s="15">
        <f>IF(OR(O90="-", P90="-"), "-", MROUND(O90 + P90, 0.5))</f>
        <v/>
      </c>
      <c r="AD90" s="15">
        <f>VALUE(TRIM(RIGHT(AF90, LEN(AF90) - FIND(" ", AF90))))</f>
        <v/>
      </c>
      <c r="AE90" s="15">
        <f>LEFT(AF90,FIND(" ",AF90)-1)</f>
        <v/>
      </c>
      <c r="AF90" s="15">
        <f>IF(OR(O90="-", P90="-"), "-",
IF(MROUND(ABS(O90-P90),0.5)&lt;=0.5,
IF(O90&gt;P90, B90 &amp; " ML", H90 &amp; " ML"),
IF(MROUND(ABS(O90-P90),0.5)=1,
IF(O90&gt;P90, H90 &amp; " +1.5", B90 &amp; " +1.5"),
IF(O90&gt;P90, B90 &amp; " -1.5", H90 &amp; " -1.5")
)
)
)</f>
        <v/>
      </c>
      <c r="AG90" s="15">
        <f>_xlfn.LET(
_xlpm.winA, O90^1.83 / (O90^1.83 + P90^1.83),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91">
      <c r="A91" s="14" t="n">
        <v>46113</v>
      </c>
      <c r="B91" s="15" t="inlineStr">
        <is>
          <t>TWINS</t>
        </is>
      </c>
      <c r="C91">
        <f>VLOOKUP(B91, 'MLB Data'!$B$5:$D$34, 3, FALSE)</f>
        <v/>
      </c>
      <c r="D91" s="16" t="inlineStr">
        <is>
          <t>RYAN</t>
        </is>
      </c>
      <c r="E91" s="17" t="n">
        <v>3.64</v>
      </c>
      <c r="F91" s="17">
        <f>VLOOKUP(B91, 'MLB Data'!$F$2:$H$34, 3, FALSE)</f>
        <v/>
      </c>
      <c r="G91" s="19">
        <f>IF((E91*0.6+F91*0.4)&lt;2.5, 2.8, IF((E91*0.6+F91*0.4)&gt;5.5, 5.2, (E91*0.6+F91*0.4)))</f>
        <v/>
      </c>
      <c r="H91" s="15" t="inlineStr">
        <is>
          <t>ROYALS</t>
        </is>
      </c>
      <c r="I91">
        <f>VLOOKUP(H91, 'MLB Data'!$B$5:$D$34, 3, FALSE)</f>
        <v/>
      </c>
      <c r="J91" s="16" t="inlineStr">
        <is>
          <t>CAMERON</t>
        </is>
      </c>
      <c r="K91" s="17" t="n">
        <v>4.1</v>
      </c>
      <c r="L91" s="17">
        <f>VLOOKUP(H91, 'MLB Data'!$F$2:$H$34, 3, FALSE)</f>
        <v/>
      </c>
      <c r="M91" s="17">
        <f>IF((K91*0.6+L91*0.4)&lt;2.5, 2.8, IF((K91*0.6+L91*0.4)&gt;5.5, 5.2, (K91*0.6+L91*0.4)))</f>
        <v/>
      </c>
      <c r="O91" s="18">
        <f>(C91/100) * 4.45 * (M91 / 4.2) * T91</f>
        <v/>
      </c>
      <c r="P91" s="18">
        <f>(I91/100) * 4.45 * (G91 / 4.2) * T91</f>
        <v/>
      </c>
      <c r="Q91" s="18">
        <f>(O91+P91)</f>
        <v/>
      </c>
      <c r="S91" s="15">
        <f>H91</f>
        <v/>
      </c>
      <c r="T91" s="19">
        <f>IF(S91="ROCKIES",1.13,IF(S91="ATHLETICS",1.03,IF(S91="ROYALS",1.03,IF(S91="TWINS",1,IF(S91="TIGERS",1,IF(S91="MARLINS",1.01,IF(S91="REDS",1.05,IF(S91="RED SOX",1.04,IF(S91="YANKEES",1.02,IF(S91="DODGERS",0.99,IF(S91="PADRES",0.96,IF(S91="CUBS",0.98,IF(S91="GIANTS",0.97,IF(S91="MARINERS",0.94,IF(S91="RANGERS",1,IF(S91="ASTROS",0.99,IF(S91="BRAVES",1,IF(S91="METS",0.96,IF(S91="PHILLIES",1.02,IF(S91="BLUE JAYS",1.01,IF(S91="ORIOLES",0.99,IF(S91="RAYS",1.01,IF(S91="GUARDIANS",0.99,IF(S91="WHITE SOX",0.98,IF(S91="ANGELS",1.01,IF(S91="D-BACKS",1.01,IF(S91="BREWERS",0.99,IF(S91="CARDINALS",0.96,IF(S91="PIRATES",1.02,IF(S91="NATIONALS",1,1))))))))))))))))))))))))))))))*IF(W91="",1,(1+((W91-70)/10*0.035)))*IF(U91="DOME",1,IF(U91="IN",1-(V91*0.01),IF(U91="OUT",1+(V91*0.01),IF(OR(U91="L-R",U91="R-L"),1+(V91*0.005),1))))</f>
        <v/>
      </c>
      <c r="U91" s="15" t="inlineStr">
        <is>
          <t>R-L</t>
        </is>
      </c>
      <c r="V91" s="15" t="n"/>
      <c r="W91" s="15" t="n">
        <v>60</v>
      </c>
      <c r="Y91">
        <f>B91 &amp; " vs. " &amp; H91</f>
        <v/>
      </c>
      <c r="Z91">
        <f>TRIM(LEFT(Y91, FIND("vs.", Y91)-1))</f>
        <v/>
      </c>
      <c r="AA91">
        <f>TRIM(MID(Y91, FIND(" vs. ", Y91)+4, 100))</f>
        <v/>
      </c>
      <c r="AB91">
        <f>IF(Q91 &gt; VALUE(AC91), "O " &amp; AC91, IF(Q91 &lt; VALUE(AC91), "U " &amp; AC91, AC91))</f>
        <v/>
      </c>
      <c r="AC91" s="15">
        <f>IF(OR(O91="-", P91="-"), "-", MROUND(O91 + P91, 0.5))</f>
        <v/>
      </c>
      <c r="AD91" s="15">
        <f>VALUE(TRIM(RIGHT(AF91, LEN(AF91) - FIND(" ", AF91))))</f>
        <v/>
      </c>
      <c r="AE91" s="15">
        <f>LEFT(AF91,FIND(" ",AF91)-1)</f>
        <v/>
      </c>
      <c r="AF91" s="15">
        <f>IF(OR(O91="-", P91="-"), "-",
IF(MROUND(ABS(O91-P91),0.5)&lt;=0.5,
IF(O91&gt;P91, B91 &amp; " ML", H91 &amp; " ML"),
IF(MROUND(ABS(O91-P91),0.5)=1,
IF(O91&gt;P91, H91 &amp; " +1.5", B91 &amp; " +1.5"),
IF(O91&gt;P91, B91 &amp; " -1.5", H91 &amp; " -1.5")
)
)
)</f>
        <v/>
      </c>
      <c r="AG91" s="15">
        <f>_xlfn.LET(
_xlpm.winA, O91^1.83 / (O91^1.83 + P91^1.83),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92">
      <c r="A92" s="14" t="n">
        <v>46113</v>
      </c>
      <c r="B92" s="15" t="inlineStr">
        <is>
          <t>GUARDIANS</t>
        </is>
      </c>
      <c r="C92">
        <f>VLOOKUP(B92, 'MLB Data'!$B$5:$D$34, 3, FALSE)</f>
        <v/>
      </c>
      <c r="D92" s="16" t="inlineStr">
        <is>
          <t>WILLIAMS</t>
        </is>
      </c>
      <c r="E92" s="17" t="n">
        <v>5.78</v>
      </c>
      <c r="F92" s="17">
        <f>VLOOKUP(B92, 'MLB Data'!$F$2:$H$34, 3, FALSE)</f>
        <v/>
      </c>
      <c r="G92" s="19">
        <f>IF((E92*0.6+F92*0.4)&lt;2.5, 2.8, IF((E92*0.6+F92*0.4)&gt;5.5, 5.2, (E92*0.6+F92*0.4)))</f>
        <v/>
      </c>
      <c r="H92" s="15" t="inlineStr">
        <is>
          <t>DODGERS</t>
        </is>
      </c>
      <c r="I92">
        <f>VLOOKUP(H92, 'MLB Data'!$B$5:$D$34, 3, FALSE)</f>
        <v/>
      </c>
      <c r="J92" s="16" t="inlineStr">
        <is>
          <t>YAMAMOTO</t>
        </is>
      </c>
      <c r="K92" s="17" t="n">
        <v>3.17</v>
      </c>
      <c r="L92" s="17">
        <f>VLOOKUP(H92, 'MLB Data'!$F$2:$H$34, 3, FALSE)</f>
        <v/>
      </c>
      <c r="M92" s="17">
        <f>IF((K92*0.6+L92*0.4)&lt;2.5, 2.8, IF((K92*0.6+L92*0.4)&gt;5.5, 5.2, (K92*0.6+L92*0.4)))</f>
        <v/>
      </c>
      <c r="O92" s="18">
        <f>(C92/100) * 4.45 * (M92 / 4.2) * T92</f>
        <v/>
      </c>
      <c r="P92" s="18">
        <f>(I92/100) * 4.45 * (G92 / 4.2) * T92</f>
        <v/>
      </c>
      <c r="Q92" s="18">
        <f>(O92+P92)</f>
        <v/>
      </c>
      <c r="S92" s="15">
        <f>H92</f>
        <v/>
      </c>
      <c r="T92" s="19">
        <f>IF(S92="ROCKIES",1.13,IF(S92="ATHLETICS",1.03,IF(S92="ROYALS",1.03,IF(S92="TWINS",1,IF(S92="TIGERS",1,IF(S92="MARLINS",1.01,IF(S92="REDS",1.05,IF(S92="RED SOX",1.04,IF(S92="YANKEES",1.02,IF(S92="DODGERS",0.99,IF(S92="PADRES",0.96,IF(S92="CUBS",0.98,IF(S92="GIANTS",0.97,IF(S92="MARINERS",0.94,IF(S92="RANGERS",1,IF(S92="ASTROS",0.99,IF(S92="BRAVES",1,IF(S92="METS",0.96,IF(S92="PHILLIES",1.02,IF(S92="BLUE JAYS",1.01,IF(S92="ORIOLES",0.99,IF(S92="RAYS",1.01,IF(S92="GUARDIANS",0.99,IF(S92="WHITE SOX",0.98,IF(S92="ANGELS",1.01,IF(S92="D-BACKS",1.01,IF(S92="BREWERS",0.99,IF(S92="CARDINALS",0.96,IF(S92="PIRATES",1.02,IF(S92="NATIONALS",1,1))))))))))))))))))))))))))))))*IF(W92="",1,(1+((W92-70)/10*0.035)))*IF(U92="DOME",1,IF(U92="IN",1-(V92*0.01),IF(U92="OUT",1+(V92*0.01),IF(OR(U92="L-R",U92="R-L"),1+(V92*0.005),1))))</f>
        <v/>
      </c>
      <c r="U92" s="15" t="inlineStr">
        <is>
          <t>OUT</t>
        </is>
      </c>
      <c r="V92" s="15" t="n"/>
      <c r="W92" s="15" t="n">
        <v>64</v>
      </c>
      <c r="Y92">
        <f>B92 &amp; " vs. " &amp; H92</f>
        <v/>
      </c>
      <c r="Z92">
        <f>TRIM(LEFT(Y92, FIND("vs.", Y92)-1))</f>
        <v/>
      </c>
      <c r="AA92">
        <f>TRIM(MID(Y92, FIND(" vs. ", Y92)+4, 100))</f>
        <v/>
      </c>
      <c r="AB92">
        <f>IF(Q92 &gt; VALUE(AC92), "O " &amp; AC92, IF(Q92 &lt; VALUE(AC92), "U " &amp; AC92, AC92))</f>
        <v/>
      </c>
      <c r="AC92" s="15">
        <f>IF(OR(O92="-", P92="-"), "-", MROUND(O92 + P92, 0.5))</f>
        <v/>
      </c>
      <c r="AD92" s="15">
        <f>VALUE(TRIM(RIGHT(AF92, LEN(AF92) - FIND(" ", AF92))))</f>
        <v/>
      </c>
      <c r="AE92" s="15">
        <f>LEFT(AF92,FIND(" ",AF92)-1)</f>
        <v/>
      </c>
      <c r="AF92" s="15">
        <f>IF(OR(O92="-", P92="-"), "-",
IF(MROUND(ABS(O92-P92),0.5)&lt;=0.5,
IF(O92&gt;P92, B92 &amp; " ML", H92 &amp; " ML"),
IF(MROUND(ABS(O92-P92),0.5)=1,
IF(O92&gt;P92, H92 &amp; " +1.5", B92 &amp; " +1.5"),
IF(O92&gt;P92, B92 &amp; " -1.5", H92 &amp; " -1.5")
)
)
)</f>
        <v/>
      </c>
      <c r="AG92" s="15">
        <f>_xlfn.LET(
_xlpm.winA, O92^1.83 / (O92^1.83 + P92^1.83),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93">
      <c r="A93" s="14" t="n">
        <v>46114</v>
      </c>
      <c r="B93" s="15" t="inlineStr">
        <is>
          <t>TWINS</t>
        </is>
      </c>
      <c r="C93">
        <f>VLOOKUP(B93, 'MLB Data'!$B$5:$D$34, 3, FALSE)</f>
        <v/>
      </c>
      <c r="D93" s="16" t="inlineStr">
        <is>
          <t>BRADLEY</t>
        </is>
      </c>
      <c r="E93" s="17" t="n">
        <v>4.44</v>
      </c>
      <c r="F93" s="17">
        <f>VLOOKUP(B93, 'MLB Data'!$F$2:$H$34, 3, FALSE)</f>
        <v/>
      </c>
      <c r="G93" s="17">
        <f>IF((E93*0.6+F93*0.4)&lt;2.5, 2.8, IF((E93*0.6+F93*0.4)&gt;5.5, 5.2, (E93*0.6+F93*0.4)))</f>
        <v/>
      </c>
      <c r="H93" s="15" t="inlineStr">
        <is>
          <t>ROYALS</t>
        </is>
      </c>
      <c r="I93">
        <f>VLOOKUP(H93, 'MLB Data'!$B$5:$D$34, 3, FALSE)</f>
        <v/>
      </c>
      <c r="J93" s="16" t="inlineStr">
        <is>
          <t>RAGANS</t>
        </is>
      </c>
      <c r="K93" s="17" t="n">
        <v>3.37</v>
      </c>
      <c r="L93" s="17">
        <f>VLOOKUP(H93, 'MLB Data'!$F$2:$H$34, 3, FALSE)</f>
        <v/>
      </c>
      <c r="M93" s="17">
        <f>IF((K93*0.6+L93*0.4)&lt;2.5, 2.8, IF((K93*0.6+L93*0.4)&gt;5.5, 5.2, (K93*0.6+L93*0.4)))</f>
        <v/>
      </c>
      <c r="O93" s="18">
        <f>(C93/100) * 4.45 * (M93 / 4.2) * T93</f>
        <v/>
      </c>
      <c r="P93" s="18">
        <f>(I93/100) * 4.45 * (G93 / 4.2) * T93</f>
        <v/>
      </c>
      <c r="Q93" s="18">
        <f>(O93+P93)</f>
        <v/>
      </c>
      <c r="S93" s="15">
        <f>H93</f>
        <v/>
      </c>
      <c r="T93" s="19">
        <f>IF(S93="ROCKIES",1.13,IF(S93="ATHLETICS",1.03,IF(S93="ROYALS",1.03,IF(S93="TWINS",1,IF(S93="TIGERS",1,IF(S93="MARLINS",1.01,IF(S93="REDS",1.05,IF(S93="RED SOX",1.04,IF(S93="YANKEES",1.02,IF(S93="DODGERS",0.99,IF(S93="PADRES",0.96,IF(S93="CUBS",0.98,IF(S93="GIANTS",0.97,IF(S93="MARINERS",0.94,IF(S93="RANGERS",1,IF(S93="ASTROS",0.99,IF(S93="BRAVES",1,IF(S93="METS",0.96,IF(S93="PHILLIES",1.02,IF(S93="BLUE JAYS",1.01,IF(S93="ORIOLES",0.99,IF(S93="RAYS",1.01,IF(S93="GUARDIANS",0.99,IF(S93="WHITE SOX",0.98,IF(S93="ANGELS",1.01,IF(S93="D-BACKS",1.01,IF(S93="BREWERS",0.99,IF(S93="CARDINALS",0.96,IF(S93="PIRATES",1.02,IF(S93="NATIONALS",1,1))))))))))))))))))))))))))))))*IF(W93="",1,(1+((W93-70)/10*0.035)))*IF(U93="DOME",1,IF(U93="IN",1-(V93*0.01),IF(U93="OUT",1+(V93*0.01),IF(OR(U93="L-R",U93="R-L"),1+(V93*0.005),1))))</f>
        <v/>
      </c>
      <c r="U93" s="15" t="inlineStr">
        <is>
          <t>OUT</t>
        </is>
      </c>
      <c r="V93" s="15" t="n"/>
      <c r="W93" s="15" t="n">
        <v>71</v>
      </c>
      <c r="Y93">
        <f>B93 &amp; " vs. " &amp; H93</f>
        <v/>
      </c>
      <c r="Z93">
        <f>TRIM(LEFT(Y93, FIND("vs.", Y93)-1))</f>
        <v/>
      </c>
      <c r="AA93">
        <f>TRIM(MID(Y93, FIND(" vs. ", Y93)+4, 100))</f>
        <v/>
      </c>
      <c r="AB93">
        <f>IF(Q93 &gt; VALUE(AC93), "O " &amp; AC93, IF(Q93 &lt; VALUE(AC93), "U " &amp; AC93, AC93))</f>
        <v/>
      </c>
      <c r="AC93" s="15">
        <f>IF(OR(O93="-", P93="-"), "-", MROUND(O93 + P93, 0.5))</f>
        <v/>
      </c>
      <c r="AD93" s="15">
        <f>VALUE(TRIM(RIGHT(AF93, LEN(AF93) - FIND(" ", AF93))))</f>
        <v/>
      </c>
      <c r="AE93" s="15">
        <f>LEFT(AF93,FIND(" ",AF93)-1)</f>
        <v/>
      </c>
      <c r="AF93" s="15">
        <f>IF(OR(O93="-", P93="-"), "-",
IF(MROUND(ABS(O93-P93),0.5)&lt;=0.5,
IF(O93&gt;P93, B93 &amp; " ML", H93 &amp; " ML"),
IF(MROUND(ABS(O93-P93),0.5)=1,
IF(O93&gt;P93, H93 &amp; " +1.5", B93 &amp; " +1.5"),
IF(O93&gt;P93, B93 &amp; " -1.5", H93 &amp; " -1.5")
)
)
)</f>
        <v/>
      </c>
      <c r="AG93" s="15">
        <f>_xlfn.LET(
_xlpm.winA, O93^1.83 / (O93^1.83 + P93^1.83),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94">
      <c r="A94" s="14" t="n">
        <v>46114</v>
      </c>
      <c r="B94" s="15" t="inlineStr">
        <is>
          <t>BRAVES</t>
        </is>
      </c>
      <c r="C94">
        <f>VLOOKUP(B94, 'MLB Data'!$B$5:$D$34, 3, FALSE)</f>
        <v/>
      </c>
      <c r="D94" s="16" t="inlineStr">
        <is>
          <t>LOPEZ</t>
        </is>
      </c>
      <c r="E94" s="17" t="n">
        <v>3.83</v>
      </c>
      <c r="F94" s="17">
        <f>VLOOKUP(B94, 'MLB Data'!$F$2:$H$34, 3, FALSE)</f>
        <v/>
      </c>
      <c r="G94" s="17">
        <f>IF((E94*0.6+F94*0.4)&lt;2.5, 2.8, IF((E94*0.6+F94*0.4)&gt;5.5, 5.2, (E94*0.6+F94*0.4)))</f>
        <v/>
      </c>
      <c r="H94" s="15" t="inlineStr">
        <is>
          <t>D-BACKS</t>
        </is>
      </c>
      <c r="I94">
        <f>VLOOKUP(H94, 'MLB Data'!$B$5:$D$34, 3, FALSE)</f>
        <v/>
      </c>
      <c r="J94" s="16" t="inlineStr">
        <is>
          <t>NELSON</t>
        </is>
      </c>
      <c r="K94" s="17" t="n">
        <v>4.25</v>
      </c>
      <c r="L94" s="17">
        <f>VLOOKUP(H94, 'MLB Data'!$F$2:$H$34, 3, FALSE)</f>
        <v/>
      </c>
      <c r="M94" s="17">
        <f>IF((K94*0.6+L94*0.4)&lt;2.5, 2.8, IF((K94*0.6+L94*0.4)&gt;5.5, 5.2, (K94*0.6+L94*0.4)))</f>
        <v/>
      </c>
      <c r="O94" s="18">
        <f>(C94/100) * 4.45 * (M94 / 4.2) * T94</f>
        <v/>
      </c>
      <c r="P94" s="18">
        <f>(I94/100) * 4.45 * (G94 / 4.2) * T94</f>
        <v/>
      </c>
      <c r="Q94" s="18">
        <f>(O94+P94)</f>
        <v/>
      </c>
      <c r="S94" s="15">
        <f>H94</f>
        <v/>
      </c>
      <c r="T94" s="19">
        <f>IF(S94="ROCKIES",1.13,IF(S94="ATHLETICS",1.03,IF(S94="ROYALS",1.03,IF(S94="TWINS",1,IF(S94="TIGERS",1,IF(S94="MARLINS",1.01,IF(S94="REDS",1.05,IF(S94="RED SOX",1.04,IF(S94="YANKEES",1.02,IF(S94="DODGERS",0.99,IF(S94="PADRES",0.96,IF(S94="CUBS",0.98,IF(S94="GIANTS",0.97,IF(S94="MARINERS",0.94,IF(S94="RANGERS",1,IF(S94="ASTROS",0.99,IF(S94="BRAVES",1,IF(S94="METS",0.96,IF(S94="PHILLIES",1.02,IF(S94="BLUE JAYS",1.01,IF(S94="ORIOLES",0.99,IF(S94="RAYS",1.01,IF(S94="GUARDIANS",0.99,IF(S94="WHITE SOX",0.98,IF(S94="ANGELS",1.01,IF(S94="D-BACKS",1.01,IF(S94="BREWERS",0.99,IF(S94="CARDINALS",0.96,IF(S94="PIRATES",1.02,IF(S94="NATIONALS",1,1))))))))))))))))))))))))))))))*IF(W94="",1,(1+((W94-70)/10*0.035)))*IF(U94="DOME",1,IF(U94="IN",1-(V94*0.01),IF(U94="OUT",1+(V94*0.01),IF(OR(U94="L-R",U94="R-L"),1+(V94*0.005),1))))</f>
        <v/>
      </c>
      <c r="U94" s="15" t="inlineStr">
        <is>
          <t>DOME</t>
        </is>
      </c>
      <c r="V94" s="15" t="n"/>
      <c r="W94" s="15" t="n"/>
      <c r="Y94">
        <f>B94 &amp; " vs. " &amp; H94</f>
        <v/>
      </c>
      <c r="Z94">
        <f>TRIM(LEFT(Y94, FIND("vs.", Y94)-1))</f>
        <v/>
      </c>
      <c r="AA94">
        <f>TRIM(MID(Y94, FIND(" vs. ", Y94)+4, 100))</f>
        <v/>
      </c>
      <c r="AB94">
        <f>IF(Q94 &gt; VALUE(AC94), "O " &amp; AC94, IF(Q94 &lt; VALUE(AC94), "U " &amp; AC94, AC94))</f>
        <v/>
      </c>
      <c r="AC94" s="15">
        <f>IF(OR(O94="-", P94="-"), "-", MROUND(O94 + P94, 0.5))</f>
        <v/>
      </c>
      <c r="AD94" s="15">
        <f>VALUE(TRIM(RIGHT(AF94, LEN(AF94) - FIND(" ", AF94))))</f>
        <v/>
      </c>
      <c r="AE94" s="15">
        <f>LEFT(AF94,FIND(" ",AF94)-1)</f>
        <v/>
      </c>
      <c r="AF94" s="15">
        <f>IF(OR(O94="-", P94="-"), "-",
IF(MROUND(ABS(O94-P94),0.5)&lt;=0.5,
IF(O94&gt;P94, B94 &amp; " ML", H94 &amp; " ML"),
IF(MROUND(ABS(O94-P94),0.5)=1,
IF(O94&gt;P94, H94 &amp; " +1.5", B94 &amp; " +1.5"),
IF(O94&gt;P94, B94 &amp; " -1.5", H94 &amp; " -1.5")
)
)
)</f>
        <v/>
      </c>
      <c r="AG94" s="15">
        <f>_xlfn.LET(
_xlpm.winA, O94^1.83 / (O94^1.83 + P94^1.83),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95">
      <c r="A95" s="14" t="n">
        <v>46114</v>
      </c>
      <c r="B95" s="15" t="inlineStr">
        <is>
          <t>METS</t>
        </is>
      </c>
      <c r="C95">
        <f>VLOOKUP(B95, 'MLB Data'!$B$5:$D$34, 3, FALSE)</f>
        <v/>
      </c>
      <c r="D95" s="16" t="inlineStr">
        <is>
          <t>PETERSON</t>
        </is>
      </c>
      <c r="E95" s="17" t="n">
        <v>3.93</v>
      </c>
      <c r="F95" s="17">
        <f>VLOOKUP(B95, 'MLB Data'!$F$2:$H$34, 3, FALSE)</f>
        <v/>
      </c>
      <c r="G95" s="17">
        <f>IF((E95*0.6+F95*0.4)&lt;2.5, 2.8, IF((E95*0.6+F95*0.4)&gt;5.5, 5.2, (E95*0.6+F95*0.4)))</f>
        <v/>
      </c>
      <c r="H95" s="15" t="inlineStr">
        <is>
          <t>GIANTS</t>
        </is>
      </c>
      <c r="I95">
        <f>VLOOKUP(H95, 'MLB Data'!$B$5:$D$34, 3, FALSE)</f>
        <v/>
      </c>
      <c r="J95" s="16" t="inlineStr">
        <is>
          <t>RAY</t>
        </is>
      </c>
      <c r="K95" s="17" t="n">
        <v>4.41</v>
      </c>
      <c r="L95" s="17">
        <f>VLOOKUP(H95, 'MLB Data'!$F$2:$H$34, 3, FALSE)</f>
        <v/>
      </c>
      <c r="M95" s="17">
        <f>IF((K95*0.6+L95*0.4)&lt;2.5, 2.8, IF((K95*0.6+L95*0.4)&gt;5.5, 5.2, (K95*0.6+L95*0.4)))</f>
        <v/>
      </c>
      <c r="O95" s="18">
        <f>(C95/100) * 4.45 * (M95 / 4.2) * T95</f>
        <v/>
      </c>
      <c r="P95" s="18">
        <f>(I95/100) * 4.45 * (G95 / 4.2) * T95</f>
        <v/>
      </c>
      <c r="Q95" s="18">
        <f>(O95+P95)</f>
        <v/>
      </c>
      <c r="S95" s="15">
        <f>H95</f>
        <v/>
      </c>
      <c r="T95" s="19">
        <f>IF(S95="ROCKIES",1.13,IF(S95="ATHLETICS",1.03,IF(S95="ROYALS",1.03,IF(S95="TWINS",1,IF(S95="TIGERS",1,IF(S95="MARLINS",1.01,IF(S95="REDS",1.05,IF(S95="RED SOX",1.04,IF(S95="YANKEES",1.02,IF(S95="DODGERS",0.99,IF(S95="PADRES",0.96,IF(S95="CUBS",0.98,IF(S95="GIANTS",0.97,IF(S95="MARINERS",0.94,IF(S95="RANGERS",1,IF(S95="ASTROS",0.99,IF(S95="BRAVES",1,IF(S95="METS",0.96,IF(S95="PHILLIES",1.02,IF(S95="BLUE JAYS",1.01,IF(S95="ORIOLES",0.99,IF(S95="RAYS",1.01,IF(S95="GUARDIANS",0.99,IF(S95="WHITE SOX",0.98,IF(S95="ANGELS",1.01,IF(S95="D-BACKS",1.01,IF(S95="BREWERS",0.99,IF(S95="CARDINALS",0.96,IF(S95="PIRATES",1.02,IF(S95="NATIONALS",1,1))))))))))))))))))))))))))))))*IF(W95="",1,(1+((W95-70)/10*0.035)))*IF(U95="DOME",1,IF(U95="IN",1-(V95*0.01),IF(U95="OUT",1+(V95*0.01),IF(OR(U95="L-R",U95="R-L"),1+(V95*0.005),1))))</f>
        <v/>
      </c>
      <c r="U95" s="15" t="inlineStr">
        <is>
          <t>OUT</t>
        </is>
      </c>
      <c r="V95" s="15" t="n"/>
      <c r="W95" s="15" t="n">
        <v>59</v>
      </c>
      <c r="Y95">
        <f>B95 &amp; " vs. " &amp; H95</f>
        <v/>
      </c>
      <c r="Z95">
        <f>TRIM(LEFT(Y95, FIND("vs.", Y95)-1))</f>
        <v/>
      </c>
      <c r="AA95">
        <f>TRIM(MID(Y95, FIND(" vs. ", Y95)+4, 100))</f>
        <v/>
      </c>
      <c r="AB95">
        <f>IF(Q95 &gt; VALUE(AC95), "O " &amp; AC95, IF(Q95 &lt; VALUE(AC95), "U " &amp; AC95, AC95))</f>
        <v/>
      </c>
      <c r="AC95" s="15">
        <f>IF(OR(O95="-", P95="-"), "-", MROUND(O95 + P95, 0.5))</f>
        <v/>
      </c>
      <c r="AD95" s="15">
        <f>VALUE(TRIM(RIGHT(AF95, LEN(AF95) - FIND(" ", AF95))))</f>
        <v/>
      </c>
      <c r="AE95" s="15">
        <f>LEFT(AF95,FIND(" ",AF95)-1)</f>
        <v/>
      </c>
      <c r="AF95" s="15">
        <f>IF(OR(O95="-", P95="-"), "-",
IF(MROUND(ABS(O95-P95),0.5)&lt;=0.5,
IF(O95&gt;P95, B95 &amp; " ML", H95 &amp; " ML"),
IF(MROUND(ABS(O95-P95),0.5)=1,
IF(O95&gt;P95, H95 &amp; " +1.5", B95 &amp; " +1.5"),
IF(O95&gt;P95, B95 &amp; " -1.5", H95 &amp; " -1.5")
)
)
)</f>
        <v/>
      </c>
      <c r="AG95" s="15">
        <f>_xlfn.LET(
_xlpm.winA, O95^1.83 / (O95^1.83 + P95^1.83),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96">
      <c r="A96" s="14" t="n">
        <v>46115</v>
      </c>
      <c r="B96" s="15" t="inlineStr">
        <is>
          <t>DODGERS</t>
        </is>
      </c>
      <c r="C96">
        <f>VLOOKUP(B96, 'MLB Data'!$B$5:$D$34, 3, FALSE)</f>
        <v/>
      </c>
      <c r="D96" s="16" t="inlineStr">
        <is>
          <t>SHEEHAN</t>
        </is>
      </c>
      <c r="E96" s="17" t="n">
        <v>3.73</v>
      </c>
      <c r="F96" s="17">
        <f>VLOOKUP(B96, 'MLB Data'!$F$2:$H$34, 3, FALSE)</f>
        <v/>
      </c>
      <c r="G96" s="19">
        <f>IF((E96*0.6+F96*0.4)&lt;2.5, 2.8, IF((E96*0.6+F96*0.4)&gt;5.5, 5.2, (E96*0.6+F96*0.4)))</f>
        <v/>
      </c>
      <c r="H96" s="15" t="inlineStr">
        <is>
          <t>NATIONALS</t>
        </is>
      </c>
      <c r="I96">
        <f>VLOOKUP(H96, 'MLB Data'!$B$5:$D$34, 3, FALSE)</f>
        <v/>
      </c>
      <c r="J96" s="16" t="inlineStr">
        <is>
          <t>MIKOLAS</t>
        </is>
      </c>
      <c r="K96" s="17" t="n">
        <v>5.11</v>
      </c>
      <c r="L96" s="17">
        <f>VLOOKUP(H96, 'MLB Data'!$F$2:$H$34, 3, FALSE)</f>
        <v/>
      </c>
      <c r="M96" s="17">
        <f>IF((K96*0.6+L96*0.4)&lt;2.5, 2.8, IF((K96*0.6+L96*0.4)&gt;5.5, 5.2, (K96*0.6+L96*0.4)))</f>
        <v/>
      </c>
      <c r="O96" s="18">
        <f>(C96/100) * 4.45 * (M96 / 4.2) * T96</f>
        <v/>
      </c>
      <c r="P96" s="18">
        <f>(I96/100) * 4.45 * (G96 / 4.2) * T96</f>
        <v/>
      </c>
      <c r="Q96" s="18">
        <f>(O96+P96)</f>
        <v/>
      </c>
      <c r="S96" s="15">
        <f>H96</f>
        <v/>
      </c>
      <c r="T96" s="19">
        <f>IF(S96="ROCKIES",1.13,IF(S96="ATHLETICS",1.03,IF(S96="ROYALS",1.03,IF(S96="TWINS",1,IF(S96="TIGERS",1,IF(S96="MARLINS",1.01,IF(S96="REDS",1.05,IF(S96="RED SOX",1.04,IF(S96="YANKEES",1.02,IF(S96="DODGERS",0.99,IF(S96="PADRES",0.96,IF(S96="CUBS",0.98,IF(S96="GIANTS",0.97,IF(S96="MARINERS",0.94,IF(S96="RANGERS",1,IF(S96="ASTROS",0.99,IF(S96="BRAVES",1,IF(S96="METS",0.96,IF(S96="PHILLIES",1.02,IF(S96="BLUE JAYS",1.01,IF(S96="ORIOLES",0.99,IF(S96="RAYS",1.01,IF(S96="GUARDIANS",0.99,IF(S96="WHITE SOX",0.98,IF(S96="ANGELS",1.01,IF(S96="D-BACKS",1.01,IF(S96="BREWERS",0.99,IF(S96="CARDINALS",0.96,IF(S96="PIRATES",1.02,IF(S96="NATIONALS",1,1))))))))))))))))))))))))))))))*IF(W96="",1,(1+((W96-70)/10*0.035)))*IF(U96="DOME",1,IF(U96="IN",1-(V96*0.01),IF(U96="OUT",1+(V96*0.01),IF(OR(U96="L-R",U96="R-L"),1+(V96*0.005),1))))</f>
        <v/>
      </c>
      <c r="U96" s="15" t="inlineStr">
        <is>
          <t>OUT</t>
        </is>
      </c>
      <c r="V96" s="15" t="n"/>
      <c r="W96" s="15" t="n">
        <v>76</v>
      </c>
      <c r="Y96">
        <f>B96 &amp; " vs. " &amp; H96</f>
        <v/>
      </c>
      <c r="Z96">
        <f>TRIM(LEFT(Y96, FIND("vs.", Y96)-1))</f>
        <v/>
      </c>
      <c r="AA96">
        <f>TRIM(MID(Y96, FIND(" vs. ", Y96)+4, 100))</f>
        <v/>
      </c>
      <c r="AB96">
        <f>IF(Q96 &gt; VALUE(AC96), "O " &amp; AC96, IF(Q96 &lt; VALUE(AC96), "U " &amp; AC96, AC96))</f>
        <v/>
      </c>
      <c r="AC96" s="15">
        <f>IF(OR(O96="-", P96="-"), "-", MROUND(O96 + P96, 0.5))</f>
        <v/>
      </c>
      <c r="AD96" s="15">
        <f>VALUE(TRIM(RIGHT(AF96, LEN(AF96) - FIND(" ", AF96))))</f>
        <v/>
      </c>
      <c r="AE96" s="15">
        <f>LEFT(AF96,FIND(" ",AF96)-1)</f>
        <v/>
      </c>
      <c r="AF96" s="15">
        <f>IF(OR(O96="-", P96="-"), "-",
IF(MROUND(ABS(O96-P96),0.5)&lt;=0.5,
IF(O96&gt;P96, B96 &amp; " ML", H96 &amp; " ML"),
IF(MROUND(ABS(O96-P96),0.5)=1,
IF(O96&gt;P96, H96 &amp; " +1.5", B96 &amp; " +1.5"),
IF(O96&gt;P96, B96 &amp; " -1.5", H96 &amp; " -1.5")
)
)
)</f>
        <v/>
      </c>
      <c r="AG96" s="15">
        <f>_xlfn.LET(
_xlpm.winA, O96^1.83 / (O96^1.83 + P96^1.83),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97">
      <c r="A97" s="14" t="n">
        <v>46115</v>
      </c>
      <c r="B97" s="15" t="inlineStr">
        <is>
          <t>CARDINALS</t>
        </is>
      </c>
      <c r="C97">
        <f>VLOOKUP(B97, 'MLB Data'!$B$5:$D$34, 3, FALSE)</f>
        <v/>
      </c>
      <c r="D97" s="16" t="inlineStr">
        <is>
          <t>MCGREEVY</t>
        </is>
      </c>
      <c r="E97" s="17" t="n">
        <v>4.13</v>
      </c>
      <c r="F97" s="17">
        <f>VLOOKUP(B97, 'MLB Data'!$F$2:$H$34, 3, FALSE)</f>
        <v/>
      </c>
      <c r="G97" s="19">
        <f>IF((E97*0.6+F97*0.4)&lt;2.5, 2.8, IF((E97*0.6+F97*0.4)&gt;5.5, 5.2, (E97*0.6+F97*0.4)))</f>
        <v/>
      </c>
      <c r="H97" s="15" t="inlineStr">
        <is>
          <t>TIGERS</t>
        </is>
      </c>
      <c r="I97">
        <f>VLOOKUP(H97, 'MLB Data'!$B$5:$D$34, 3, FALSE)</f>
        <v/>
      </c>
      <c r="J97" s="16" t="inlineStr">
        <is>
          <t>VALDEZ</t>
        </is>
      </c>
      <c r="K97" s="17" t="n">
        <v>3.43</v>
      </c>
      <c r="L97" s="17">
        <f>VLOOKUP(H97, 'MLB Data'!$F$2:$H$34, 3, FALSE)</f>
        <v/>
      </c>
      <c r="M97" s="17">
        <f>IF((K97*0.6+L97*0.4)&lt;2.5, 2.8, IF((K97*0.6+L97*0.4)&gt;5.5, 5.2, (K97*0.6+L97*0.4)))</f>
        <v/>
      </c>
      <c r="O97" s="18">
        <f>(C97/100) * 4.45 * (M97 / 4.2) * T97</f>
        <v/>
      </c>
      <c r="P97" s="18">
        <f>(I97/100) * 4.45 * (G97 / 4.2) * T97</f>
        <v/>
      </c>
      <c r="Q97" s="18">
        <f>(O97+P97)</f>
        <v/>
      </c>
      <c r="S97" s="15">
        <f>H97</f>
        <v/>
      </c>
      <c r="T97" s="19">
        <f>IF(S97="ROCKIES",1.13,IF(S97="ATHLETICS",1.03,IF(S97="ROYALS",1.03,IF(S97="TWINS",1,IF(S97="TIGERS",1,IF(S97="MARLINS",1.01,IF(S97="REDS",1.05,IF(S97="RED SOX",1.04,IF(S97="YANKEES",1.02,IF(S97="DODGERS",0.99,IF(S97="PADRES",0.96,IF(S97="CUBS",0.98,IF(S97="GIANTS",0.97,IF(S97="MARINERS",0.94,IF(S97="RANGERS",1,IF(S97="ASTROS",0.99,IF(S97="BRAVES",1,IF(S97="METS",0.96,IF(S97="PHILLIES",1.02,IF(S97="BLUE JAYS",1.01,IF(S97="ORIOLES",0.99,IF(S97="RAYS",1.01,IF(S97="GUARDIANS",0.99,IF(S97="WHITE SOX",0.98,IF(S97="ANGELS",1.01,IF(S97="D-BACKS",1.01,IF(S97="BREWERS",0.99,IF(S97="CARDINALS",0.96,IF(S97="PIRATES",1.02,IF(S97="NATIONALS",1,1))))))))))))))))))))))))))))))*IF(W97="",1,(1+((W97-70)/10*0.035)))*IF(U97="DOME",1,IF(U97="IN",1-(V97*0.01),IF(U97="OUT",1+(V97*0.01),IF(OR(U97="L-R",U97="R-L"),1+(V97*0.005),1))))</f>
        <v/>
      </c>
      <c r="U97" s="15" t="inlineStr">
        <is>
          <t>OUT</t>
        </is>
      </c>
      <c r="V97" s="15" t="n"/>
      <c r="W97" s="15" t="n">
        <v>64</v>
      </c>
      <c r="Y97">
        <f>B97 &amp; " vs. " &amp; H97</f>
        <v/>
      </c>
      <c r="Z97">
        <f>TRIM(LEFT(Y97, FIND("vs.", Y97)-1))</f>
        <v/>
      </c>
      <c r="AA97">
        <f>TRIM(MID(Y97, FIND(" vs. ", Y97)+4, 100))</f>
        <v/>
      </c>
      <c r="AB97">
        <f>IF(Q97 &gt; VALUE(AC97), "O " &amp; AC97, IF(Q97 &lt; VALUE(AC97), "U " &amp; AC97, AC97))</f>
        <v/>
      </c>
      <c r="AC97" s="15">
        <f>IF(OR(O97="-", P97="-"), "-", MROUND(O97 + P97, 0.5))</f>
        <v/>
      </c>
      <c r="AD97" s="15">
        <f>VALUE(TRIM(RIGHT(AF97, LEN(AF97) - FIND(" ", AF97))))</f>
        <v/>
      </c>
      <c r="AE97" s="15">
        <f>LEFT(AF97,FIND(" ",AF97)-1)</f>
        <v/>
      </c>
      <c r="AF97" s="15">
        <f>IF(OR(O97="-", P97="-"), "-",
IF(MROUND(ABS(O97-P97),0.5)&lt;=0.5,
IF(O97&gt;P97, B97 &amp; " ML", H97 &amp; " ML"),
IF(MROUND(ABS(O97-P97),0.5)=1,
IF(O97&gt;P97, H97 &amp; " +1.5", B97 &amp; " +1.5"),
IF(O97&gt;P97, B97 &amp; " -1.5", H97 &amp; " -1.5")
)
)
)</f>
        <v/>
      </c>
      <c r="AG97" s="15">
        <f>_xlfn.LET(
_xlpm.winA, O97^1.83 / (O97^1.83 + P97^1.83),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98">
      <c r="A98" s="14" t="n">
        <v>46115</v>
      </c>
      <c r="B98" s="15" t="inlineStr">
        <is>
          <t>MARLINS</t>
        </is>
      </c>
      <c r="C98">
        <f>VLOOKUP(B98, 'MLB Data'!$B$5:$D$34, 3, FALSE)</f>
        <v/>
      </c>
      <c r="D98" s="16" t="inlineStr">
        <is>
          <t>PEREZ</t>
        </is>
      </c>
      <c r="E98" s="17" t="n">
        <v>3.96</v>
      </c>
      <c r="F98" s="17">
        <f>VLOOKUP(B98, 'MLB Data'!$F$2:$H$34, 3, FALSE)</f>
        <v/>
      </c>
      <c r="G98" s="19">
        <f>IF((E98*0.6+F98*0.4)&lt;2.5, 2.8, IF((E98*0.6+F98*0.4)&gt;5.5, 5.2, (E98*0.6+F98*0.4)))</f>
        <v/>
      </c>
      <c r="H98" s="15" t="inlineStr">
        <is>
          <t>YANKEES</t>
        </is>
      </c>
      <c r="I98">
        <f>VLOOKUP(H98, 'MLB Data'!$B$5:$D$34, 3, FALSE)</f>
        <v/>
      </c>
      <c r="J98" s="16" t="inlineStr">
        <is>
          <t>WARREN</t>
        </is>
      </c>
      <c r="K98" s="17" t="n">
        <v>4.01</v>
      </c>
      <c r="L98" s="17">
        <f>VLOOKUP(H98, 'MLB Data'!$F$2:$H$34, 3, FALSE)</f>
        <v/>
      </c>
      <c r="M98" s="17">
        <f>IF((K98*0.6+L98*0.4)&lt;2.5, 2.8, IF((K98*0.6+L98*0.4)&gt;5.5, 5.2, (K98*0.6+L98*0.4)))</f>
        <v/>
      </c>
      <c r="O98" s="18">
        <f>(C98/100) * 4.45 * (M98 / 4.2) * T98</f>
        <v/>
      </c>
      <c r="P98" s="18">
        <f>(I98/100) * 4.45 * (G98 / 4.2) * T98</f>
        <v/>
      </c>
      <c r="Q98" s="18">
        <f>(O98+P98)</f>
        <v/>
      </c>
      <c r="S98" s="15">
        <f>H98</f>
        <v/>
      </c>
      <c r="T98" s="19">
        <f>IF(S98="ROCKIES",1.13,IF(S98="ATHLETICS",1.03,IF(S98="ROYALS",1.03,IF(S98="TWINS",1,IF(S98="TIGERS",1,IF(S98="MARLINS",1.01,IF(S98="REDS",1.05,IF(S98="RED SOX",1.04,IF(S98="YANKEES",1.02,IF(S98="DODGERS",0.99,IF(S98="PADRES",0.96,IF(S98="CUBS",0.98,IF(S98="GIANTS",0.97,IF(S98="MARINERS",0.94,IF(S98="RANGERS",1,IF(S98="ASTROS",0.99,IF(S98="BRAVES",1,IF(S98="METS",0.96,IF(S98="PHILLIES",1.02,IF(S98="BLUE JAYS",1.01,IF(S98="ORIOLES",0.99,IF(S98="RAYS",1.01,IF(S98="GUARDIANS",0.99,IF(S98="WHITE SOX",0.98,IF(S98="ANGELS",1.01,IF(S98="D-BACKS",1.01,IF(S98="BREWERS",0.99,IF(S98="CARDINALS",0.96,IF(S98="PIRATES",1.02,IF(S98="NATIONALS",1,1))))))))))))))))))))))))))))))*IF(W98="",1,(1+((W98-70)/10*0.035)))*IF(U98="DOME",1,IF(U98="IN",1-(V98*0.01),IF(U98="OUT",1+(V98*0.01),IF(OR(U98="L-R",U98="R-L"),1+(V98*0.005),1))))</f>
        <v/>
      </c>
      <c r="U98" s="15" t="inlineStr">
        <is>
          <t>OUT</t>
        </is>
      </c>
      <c r="V98" s="15" t="n"/>
      <c r="W98" s="15" t="n">
        <v>60</v>
      </c>
      <c r="Y98">
        <f>B98 &amp; " vs. " &amp; H98</f>
        <v/>
      </c>
      <c r="Z98">
        <f>TRIM(LEFT(Y98, FIND("vs.", Y98)-1))</f>
        <v/>
      </c>
      <c r="AA98">
        <f>TRIM(MID(Y98, FIND(" vs. ", Y98)+4, 100))</f>
        <v/>
      </c>
      <c r="AB98">
        <f>IF(Q98 &gt; VALUE(AC98), "O " &amp; AC98, IF(Q98 &lt; VALUE(AC98), "U " &amp; AC98, AC98))</f>
        <v/>
      </c>
      <c r="AC98" s="15">
        <f>IF(OR(O98="-", P98="-"), "-", MROUND(O98 + P98, 0.5))</f>
        <v/>
      </c>
      <c r="AD98" s="15">
        <f>VALUE(TRIM(RIGHT(AF98, LEN(AF98) - FIND(" ", AF98))))</f>
        <v/>
      </c>
      <c r="AE98" s="15">
        <f>LEFT(AF98,FIND(" ",AF98)-1)</f>
        <v/>
      </c>
      <c r="AF98" s="15">
        <f>IF(OR(O98="-", P98="-"), "-",
    IF(MROUND(ABS(O98-P98),0.5)&lt;=0.5,
        IF(O98&gt;P98, B98 &amp; " ML", H98 &amp; " ML"),
        IF(MROUND(ABS(O98-P98),0.5)=1,
            IF(O98&gt;P98, H98 &amp; " +1.5", B98 &amp; " +1.5"),
            IF(O98&gt;P98, B98 &amp; " -1.5", H98 &amp; " -1.5")
        )
    )
)</f>
        <v/>
      </c>
      <c r="AG98" s="15">
        <f>_xlfn.LET(
    _xlpm.winA, O98^1.83 / (O98^1.83 + P98^1.83),
    _xlpm.winB, 1 - _xlpm.winA,
    _xlpm.oddsA, IF(_xlpm.winA &gt;= 0.5, "-" &amp; ROUND(_xlpm.winA / (1 - _xlpm.winA) * 100, 0), "+" &amp; ROUND((1 - _xlpm.winA) / _xlpm.winA * 100, 0)),
    _xlpm.oddsB, IF(_xlpm.winB &gt;= 0.5, "-" &amp; ROUND(_xlpm.winB / (1 - _xlpm.winB) * 100, 0), "+" &amp; ROUND((1 - _xlpm.winB) / _xlpm.winB * 100, 0)),
    _xlpm.oddsA &amp; " / " &amp; _xlpm.oddsB
)</f>
        <v/>
      </c>
    </row>
    <row r="99">
      <c r="A99" s="14" t="n">
        <v>46115</v>
      </c>
      <c r="B99" s="15" t="inlineStr">
        <is>
          <t>PADRES</t>
        </is>
      </c>
      <c r="C99">
        <f>VLOOKUP(B99, 'MLB Data'!$B$5:$D$34, 3, FALSE)</f>
        <v/>
      </c>
      <c r="D99" s="16" t="inlineStr">
        <is>
          <t>KING</t>
        </is>
      </c>
      <c r="E99" s="17" t="n">
        <v>4.06</v>
      </c>
      <c r="F99" s="17">
        <f>VLOOKUP(B99, 'MLB Data'!$F$2:$H$34, 3, FALSE)</f>
        <v/>
      </c>
      <c r="G99" s="19">
        <f>IF((E99*0.6+F99*0.4)&lt;2.5, 2.8, IF((E99*0.6+F99*0.4)&gt;5.5, 5.2, (E99*0.6+F99*0.4)))</f>
        <v/>
      </c>
      <c r="H99" s="15" t="inlineStr">
        <is>
          <t>RED SOX</t>
        </is>
      </c>
      <c r="I99">
        <f>VLOOKUP(H99, 'MLB Data'!$B$5:$D$34, 3, FALSE)</f>
        <v/>
      </c>
      <c r="J99" s="16" t="inlineStr">
        <is>
          <t>GRAY</t>
        </is>
      </c>
      <c r="K99" s="17" t="n">
        <v>3.56</v>
      </c>
      <c r="L99" s="17">
        <f>VLOOKUP(H99, 'MLB Data'!$F$2:$H$34, 3, FALSE)</f>
        <v/>
      </c>
      <c r="M99" s="17">
        <f>IF((K99*0.6+L99*0.4)&lt;2.5, 2.8, IF((K99*0.6+L99*0.4)&gt;5.5, 5.2, (K99*0.6+L99*0.4)))</f>
        <v/>
      </c>
      <c r="O99" s="18">
        <f>(C99/100) * 4.45 * (M99 / 4.2) * T99</f>
        <v/>
      </c>
      <c r="P99" s="18">
        <f>(I99/100) * 4.45 * (G99 / 4.2) * T99</f>
        <v/>
      </c>
      <c r="Q99" s="18">
        <f>(O99+P99)</f>
        <v/>
      </c>
      <c r="S99" s="15">
        <f>H99</f>
        <v/>
      </c>
      <c r="T99" s="19">
        <f>IF(S99="ROCKIES",1.13,IF(S99="ATHLETICS",1.03,IF(S99="ROYALS",1.03,IF(S99="TWINS",1,IF(S99="TIGERS",1,IF(S99="MARLINS",1.01,IF(S99="REDS",1.05,IF(S99="RED SOX",1.04,IF(S99="YANKEES",1.02,IF(S99="DODGERS",0.99,IF(S99="PADRES",0.96,IF(S99="CUBS",0.98,IF(S99="GIANTS",0.97,IF(S99="MARINERS",0.94,IF(S99="RANGERS",1,IF(S99="ASTROS",0.99,IF(S99="BRAVES",1,IF(S99="METS",0.96,IF(S99="PHILLIES",1.02,IF(S99="BLUE JAYS",1.01,IF(S99="ORIOLES",0.99,IF(S99="RAYS",1.01,IF(S99="GUARDIANS",0.99,IF(S99="WHITE SOX",0.98,IF(S99="ANGELS",1.01,IF(S99="D-BACKS",1.01,IF(S99="BREWERS",0.99,IF(S99="CARDINALS",0.96,IF(S99="PIRATES",1.02,IF(S99="NATIONALS",1,1))))))))))))))))))))))))))))))*IF(W99="",1,(1+((W99-70)/10*0.035)))*IF(U99="DOME",1,IF(U99="IN",1-(V99*0.01),IF(U99="OUT",1+(V99*0.01),IF(OR(U99="L-R",U99="R-L"),1+(V99*0.005),1))))</f>
        <v/>
      </c>
      <c r="U99" s="15" t="inlineStr">
        <is>
          <t>OUT</t>
        </is>
      </c>
      <c r="V99" s="15" t="n"/>
      <c r="W99" s="15" t="n">
        <v>58</v>
      </c>
      <c r="Y99">
        <f>B99 &amp; " vs. " &amp; H99</f>
        <v/>
      </c>
      <c r="Z99">
        <f>TRIM(LEFT(Y99, FIND("vs.", Y99)-1))</f>
        <v/>
      </c>
      <c r="AA99">
        <f>TRIM(MID(Y99, FIND(" vs. ", Y99)+4, 100))</f>
        <v/>
      </c>
      <c r="AB99">
        <f>IF(Q99 &gt; VALUE(AC99), "O " &amp; AC99, IF(Q99 &lt; VALUE(AC99), "U " &amp; AC99, AC99))</f>
        <v/>
      </c>
      <c r="AC99" s="15">
        <f>IF(OR(O99="-", P99="-"), "-", MROUND(O99 + P99, 0.5))</f>
        <v/>
      </c>
      <c r="AD99" s="15">
        <f>VALUE(TRIM(RIGHT(AF99, LEN(AF99) - FIND(" ", AF99))))</f>
        <v/>
      </c>
      <c r="AE99" s="15">
        <f>LEFT(AF99,FIND(" ",AF99)-1)</f>
        <v/>
      </c>
      <c r="AF99" s="15">
        <f>IF(OR(O99="-", P99="-"), "-",
IF(MROUND(ABS(O99-P99),0.5)&lt;=0.5,
IF(O99&gt;P99, B99 &amp; " ML", H99 &amp; " ML"),
IF(MROUND(ABS(O99-P99),0.5)=1,
IF(O99&gt;P99, H99 &amp; " +1.5", B99 &amp; " +1.5"),
IF(O99&gt;P99, B99 &amp; " -1.5", H99 &amp; " -1.5")
)
)
)</f>
        <v/>
      </c>
      <c r="AG99" s="15">
        <f>_xlfn.LET(
_xlpm.winA, O99^1.83 / (O99^1.83 + P99^1.83),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00">
      <c r="A100" s="14" t="n">
        <v>46115</v>
      </c>
      <c r="B100" s="15" t="inlineStr">
        <is>
          <t>BLUE JAYS</t>
        </is>
      </c>
      <c r="C100">
        <f>VLOOKUP(B100, 'MLB Data'!$B$5:$D$34, 3, FALSE)</f>
        <v/>
      </c>
      <c r="D100" s="16" t="inlineStr">
        <is>
          <t>CEASE</t>
        </is>
      </c>
      <c r="E100" s="17" t="n">
        <v>3.38</v>
      </c>
      <c r="F100" s="17">
        <f>VLOOKUP(B100, 'MLB Data'!$F$2:$H$34, 3, FALSE)</f>
        <v/>
      </c>
      <c r="G100" s="19">
        <f>IF((E100*0.6+F100*0.4)&lt;2.5, 2.8, IF((E100*0.6+F100*0.4)&gt;5.5, 5.2, (E100*0.6+F100*0.4)))</f>
        <v/>
      </c>
      <c r="H100" s="15" t="inlineStr">
        <is>
          <t>WHITE SOX</t>
        </is>
      </c>
      <c r="I100">
        <f>VLOOKUP(H100, 'MLB Data'!$B$5:$D$34, 3, FALSE)</f>
        <v/>
      </c>
      <c r="J100" s="16" t="inlineStr">
        <is>
          <t>TAYLOR</t>
        </is>
      </c>
      <c r="K100" s="17" t="n">
        <v>2.97</v>
      </c>
      <c r="L100" s="17">
        <f>VLOOKUP(H100, 'MLB Data'!$F$2:$H$34, 3, FALSE)</f>
        <v/>
      </c>
      <c r="M100" s="17">
        <f>IF((K100*0.6+L100*0.4)&lt;2.5, 2.8, IF((K100*0.6+L100*0.4)&gt;5.5, 5.2, (K100*0.6+L100*0.4)))</f>
        <v/>
      </c>
      <c r="O100" s="18">
        <f>(C100/100) * 4.45 * (M100 / 4.2) * T100</f>
        <v/>
      </c>
      <c r="P100" s="18">
        <f>(I100/100) * 4.45 * (G100 / 4.2) * T100</f>
        <v/>
      </c>
      <c r="Q100" s="18">
        <f>(O100+P100)</f>
        <v/>
      </c>
      <c r="S100" s="15">
        <f>H100</f>
        <v/>
      </c>
      <c r="T100" s="19">
        <f>IF(S100="ROCKIES",1.13,IF(S100="ATHLETICS",1.03,IF(S100="ROYALS",1.03,IF(S100="TWINS",1,IF(S100="TIGERS",1,IF(S100="MARLINS",1.01,IF(S100="REDS",1.05,IF(S100="RED SOX",1.04,IF(S100="YANKEES",1.02,IF(S100="DODGERS",0.99,IF(S100="PADRES",0.96,IF(S100="CUBS",0.98,IF(S100="GIANTS",0.97,IF(S100="MARINERS",0.94,IF(S100="RANGERS",1,IF(S100="ASTROS",0.99,IF(S100="BRAVES",1,IF(S100="METS",0.96,IF(S100="PHILLIES",1.02,IF(S100="BLUE JAYS",1.01,IF(S100="ORIOLES",0.99,IF(S100="RAYS",1.01,IF(S100="GUARDIANS",0.99,IF(S100="WHITE SOX",0.98,IF(S100="ANGELS",1.01,IF(S100="D-BACKS",1.01,IF(S100="BREWERS",0.99,IF(S100="CARDINALS",0.96,IF(S100="PIRATES",1.02,IF(S100="NATIONALS",1,1))))))))))))))))))))))))))))))*IF(W100="",1,(1+((W100-70)/10*0.035)))*IF(U100="DOME",1,IF(U100="IN",1-(V100*0.01),IF(U100="OUT",1+(V100*0.01),IF(OR(U100="L-R",U100="R-L"),1+(V100*0.005),1))))</f>
        <v/>
      </c>
      <c r="U100" s="15" t="inlineStr">
        <is>
          <t>IN</t>
        </is>
      </c>
      <c r="V100" s="15" t="n"/>
      <c r="W100" s="15" t="n">
        <v>49</v>
      </c>
      <c r="Y100">
        <f>B100 &amp; " vs. " &amp; H100</f>
        <v/>
      </c>
      <c r="Z100">
        <f>TRIM(LEFT(Y100, FIND("vs.", Y100)-1))</f>
        <v/>
      </c>
      <c r="AA100">
        <f>TRIM(MID(Y100, FIND(" vs. ", Y100)+4, 100))</f>
        <v/>
      </c>
      <c r="AB100">
        <f>IF(Q100 &gt; VALUE(AC100), "O " &amp; AC100, IF(Q100 &lt; VALUE(AC100), "U " &amp; AC100, AC100))</f>
        <v/>
      </c>
      <c r="AC100" s="15">
        <f>IF(OR(O100="-", P100="-"), "-", MROUND(O100 + P100, 0.5))</f>
        <v/>
      </c>
      <c r="AD100" s="15">
        <f>VALUE(TRIM(RIGHT(AF100, LEN(AF100) - FIND(" ", AF100))))</f>
        <v/>
      </c>
      <c r="AE100" s="15">
        <f>LEFT(AF100,FIND(" ",AF100)-1)</f>
        <v/>
      </c>
      <c r="AF100" s="15">
        <f>IF(OR(O100="-", P100="-"), "-",
IF(MROUND(ABS(O100-P100),0.5)&lt;=0.5,
IF(O100&gt;P100, B100 &amp; " ML", H100 &amp; " ML"),
IF(MROUND(ABS(O100-P100),0.5)=1,
IF(O100&gt;P100, H100 &amp; " +1.5", B100 &amp; " +1.5"),
IF(O100&gt;P100, B100 &amp; " -1.5", H100 &amp; " -1.5")
)
)
)</f>
        <v/>
      </c>
      <c r="AG100" s="15">
        <f>_xlfn.LET(
_xlpm.winA, O100^1.83 / (O100^1.83 + P100^1.83),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01">
      <c r="A101" s="14" t="n">
        <v>46115</v>
      </c>
      <c r="B101" s="15" t="inlineStr">
        <is>
          <t>REDS</t>
        </is>
      </c>
      <c r="C101">
        <f>VLOOKUP(B101, 'MLB Data'!$B$5:$D$34, 3, FALSE)</f>
        <v/>
      </c>
      <c r="D101" s="16" t="inlineStr">
        <is>
          <t>SINGER</t>
        </is>
      </c>
      <c r="E101" s="17" t="n">
        <v>4.7</v>
      </c>
      <c r="F101" s="17">
        <f>VLOOKUP(B101, 'MLB Data'!$F$2:$H$34, 3, FALSE)</f>
        <v/>
      </c>
      <c r="G101" s="19">
        <f>IF((E101*0.6+F101*0.4)&lt;2.5, 2.8, IF((E101*0.6+F101*0.4)&gt;5.5, 5.2, (E101*0.6+F101*0.4)))</f>
        <v/>
      </c>
      <c r="H101" s="15" t="inlineStr">
        <is>
          <t>RANGERS</t>
        </is>
      </c>
      <c r="I101">
        <f>VLOOKUP(H101, 'MLB Data'!$B$5:$D$34, 3, FALSE)</f>
        <v/>
      </c>
      <c r="J101" s="16" t="inlineStr">
        <is>
          <t>GORE</t>
        </is>
      </c>
      <c r="K101" s="17" t="n">
        <v>3.67</v>
      </c>
      <c r="L101" s="17">
        <f>VLOOKUP(H101, 'MLB Data'!$F$2:$H$34, 3, FALSE)</f>
        <v/>
      </c>
      <c r="M101" s="17">
        <f>IF((K101*0.6+L101*0.4)&lt;2.5, 2.8, IF((K101*0.6+L101*0.4)&gt;5.5, 5.2, (K101*0.6+L101*0.4)))</f>
        <v/>
      </c>
      <c r="O101" s="18">
        <f>(C101/100) * 4.45 * (M101 / 4.2) * T101</f>
        <v/>
      </c>
      <c r="P101" s="18">
        <f>(I101/100) * 4.45 * (G101 / 4.2) * T101</f>
        <v/>
      </c>
      <c r="Q101" s="18">
        <f>(O101+P101)</f>
        <v/>
      </c>
      <c r="S101" s="15">
        <f>H101</f>
        <v/>
      </c>
      <c r="T101" s="19">
        <f>IF(S101="ROCKIES",1.13,IF(S101="ATHLETICS",1.03,IF(S101="ROYALS",1.03,IF(S101="TWINS",1,IF(S101="TIGERS",1,IF(S101="MARLINS",1.01,IF(S101="REDS",1.05,IF(S101="RED SOX",1.04,IF(S101="YANKEES",1.02,IF(S101="DODGERS",0.99,IF(S101="PADRES",0.96,IF(S101="CUBS",0.98,IF(S101="GIANTS",0.97,IF(S101="MARINERS",0.94,IF(S101="RANGERS",1,IF(S101="ASTROS",0.99,IF(S101="BRAVES",1,IF(S101="METS",0.96,IF(S101="PHILLIES",1.02,IF(S101="BLUE JAYS",1.01,IF(S101="ORIOLES",0.99,IF(S101="RAYS",1.01,IF(S101="GUARDIANS",0.99,IF(S101="WHITE SOX",0.98,IF(S101="ANGELS",1.01,IF(S101="D-BACKS",1.01,IF(S101="BREWERS",0.99,IF(S101="CARDINALS",0.96,IF(S101="PIRATES",1.02,IF(S101="NATIONALS",1,1))))))))))))))))))))))))))))))*IF(W101="",1,(1+((W101-70)/10*0.035)))*IF(U101="DOME",1,IF(U101="IN",1-(V101*0.01),IF(U101="OUT",1+(V101*0.01),IF(OR(U101="L-R",U101="R-L"),1+(V101*0.005),1))))</f>
        <v/>
      </c>
      <c r="U101" s="15" t="inlineStr">
        <is>
          <t>OUT</t>
        </is>
      </c>
      <c r="V101" s="15" t="n"/>
      <c r="W101" s="15" t="n">
        <v>83</v>
      </c>
      <c r="Y101">
        <f>B101 &amp; " vs. " &amp; H101</f>
        <v/>
      </c>
      <c r="Z101">
        <f>TRIM(LEFT(Y101, FIND("vs.", Y101)-1))</f>
        <v/>
      </c>
      <c r="AA101">
        <f>TRIM(MID(Y101, FIND(" vs. ", Y101)+4, 100))</f>
        <v/>
      </c>
      <c r="AB101">
        <f>IF(Q101 &gt; VALUE(AC101), "O " &amp; AC101, IF(Q101 &lt; VALUE(AC101), "U " &amp; AC101, AC101))</f>
        <v/>
      </c>
      <c r="AC101" s="15">
        <f>IF(OR(O101="-", P101="-"), "-", MROUND(O101 + P101, 0.5))</f>
        <v/>
      </c>
      <c r="AD101" s="15">
        <f>VALUE(TRIM(RIGHT(AF101, LEN(AF101) - FIND(" ", AF101))))</f>
        <v/>
      </c>
      <c r="AE101" s="15">
        <f>LEFT(AF101,FIND(" ",AF101)-1)</f>
        <v/>
      </c>
      <c r="AF101" s="15">
        <f>IF(OR(O101="-", P101="-"), "-",
IF(MROUND(ABS(O101-P101),0.5)&lt;=0.5,
IF(O101&gt;P101, B101 &amp; " ML", H101 &amp; " ML"),
IF(MROUND(ABS(O101-P101),0.5)=1,
IF(O101&gt;P101, H101 &amp; " +1.5", B101 &amp; " +1.5"),
IF(O101&gt;P101, B101 &amp; " -1.5", H101 &amp; " -1.5")
)
)
)</f>
        <v/>
      </c>
      <c r="AG101" s="15">
        <f>_xlfn.LET(
_xlpm.winA, O101^1.83 / (O101^1.83 + P101^1.83),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02">
      <c r="A102" s="14" t="n">
        <v>46115</v>
      </c>
      <c r="B102" s="15" t="inlineStr">
        <is>
          <t>CUBS</t>
        </is>
      </c>
      <c r="C102">
        <f>VLOOKUP(B102, 'MLB Data'!$B$5:$D$34, 3, FALSE)</f>
        <v/>
      </c>
      <c r="D102" s="16" t="inlineStr">
        <is>
          <t>HORTON</t>
        </is>
      </c>
      <c r="E102" s="17" t="n">
        <v>4</v>
      </c>
      <c r="F102" s="17">
        <f>VLOOKUP(B102, 'MLB Data'!$F$2:$H$34, 3, FALSE)</f>
        <v/>
      </c>
      <c r="G102" s="19">
        <f>IF((E102*0.6+F102*0.4)&lt;2.5, 2.8, IF((E102*0.6+F102*0.4)&gt;5.5, 5.2, (E102*0.6+F102*0.4)))</f>
        <v/>
      </c>
      <c r="H102" s="15" t="inlineStr">
        <is>
          <t>GUARDIANS</t>
        </is>
      </c>
      <c r="I102">
        <f>VLOOKUP(H102, 'MLB Data'!$B$5:$D$34, 3, FALSE)</f>
        <v/>
      </c>
      <c r="J102" s="16" t="inlineStr">
        <is>
          <t>CANTILLO</t>
        </is>
      </c>
      <c r="K102" s="17" t="n">
        <v>4.06</v>
      </c>
      <c r="L102" s="17">
        <f>VLOOKUP(H102, 'MLB Data'!$F$2:$H$34, 3, FALSE)</f>
        <v/>
      </c>
      <c r="M102" s="17">
        <f>IF((K102*0.6+L102*0.4)&lt;2.5, 2.8, IF((K102*0.6+L102*0.4)&gt;5.5, 5.2, (K102*0.6+L102*0.4)))</f>
        <v/>
      </c>
      <c r="O102" s="18">
        <f>(C102/100) * 4.45 * (M102 / 4.2) * T102</f>
        <v/>
      </c>
      <c r="P102" s="18">
        <f>(I102/100) * 4.45 * (G102 / 4.2) * T102</f>
        <v/>
      </c>
      <c r="Q102" s="18">
        <f>(O102+P102)</f>
        <v/>
      </c>
      <c r="S102" s="15">
        <f>H102</f>
        <v/>
      </c>
      <c r="T102" s="19">
        <f>IF(S102="ROCKIES",1.13,IF(S102="ATHLETICS",1.03,IF(S102="ROYALS",1.03,IF(S102="TWINS",1,IF(S102="TIGERS",1,IF(S102="MARLINS",1.01,IF(S102="REDS",1.05,IF(S102="RED SOX",1.04,IF(S102="YANKEES",1.02,IF(S102="DODGERS",0.99,IF(S102="PADRES",0.96,IF(S102="CUBS",0.98,IF(S102="GIANTS",0.97,IF(S102="MARINERS",0.94,IF(S102="RANGERS",1,IF(S102="ASTROS",0.99,IF(S102="BRAVES",1,IF(S102="METS",0.96,IF(S102="PHILLIES",1.02,IF(S102="BLUE JAYS",1.01,IF(S102="ORIOLES",0.99,IF(S102="RAYS",1.01,IF(S102="GUARDIANS",0.99,IF(S102="WHITE SOX",0.98,IF(S102="ANGELS",1.01,IF(S102="D-BACKS",1.01,IF(S102="BREWERS",0.99,IF(S102="CARDINALS",0.96,IF(S102="PIRATES",1.02,IF(S102="NATIONALS",1,1))))))))))))))))))))))))))))))*IF(W102="",1,(1+((W102-70)/10*0.035)))*IF(U102="DOME",1,IF(U102="IN",1-(V102*0.01),IF(U102="OUT",1+(V102*0.01),IF(OR(U102="L-R",U102="R-L"),1+(V102*0.005),1))))</f>
        <v/>
      </c>
      <c r="U102" s="15" t="inlineStr">
        <is>
          <t>R-L</t>
        </is>
      </c>
      <c r="V102" s="15" t="n"/>
      <c r="W102" s="15" t="n">
        <v>70</v>
      </c>
      <c r="Y102">
        <f>B102 &amp; " vs. " &amp; H102</f>
        <v/>
      </c>
      <c r="Z102">
        <f>TRIM(LEFT(Y102, FIND("vs.", Y102)-1))</f>
        <v/>
      </c>
      <c r="AA102">
        <f>TRIM(MID(Y102, FIND(" vs. ", Y102)+4, 100))</f>
        <v/>
      </c>
      <c r="AB102">
        <f>IF(Q102 &gt; VALUE(AC102), "O " &amp; AC102, IF(Q102 &lt; VALUE(AC102), "U " &amp; AC102, AC102))</f>
        <v/>
      </c>
      <c r="AC102" s="15">
        <f>IF(OR(O102="-", P102="-"), "-", MROUND(O102 + P102, 0.5))</f>
        <v/>
      </c>
      <c r="AD102" s="15">
        <f>VALUE(TRIM(RIGHT(AF102, LEN(AF102) - FIND(" ", AF102))))</f>
        <v/>
      </c>
      <c r="AE102" s="15">
        <f>LEFT(AF102,FIND(" ",AF102)-1)</f>
        <v/>
      </c>
      <c r="AF102" s="15">
        <f>IF(OR(O102="-", P102="-"), "-",
IF(MROUND(ABS(O102-P102),0.5)&lt;=0.5,
IF(O102&gt;P102, B102 &amp; " ML", H102 &amp; " ML"),
IF(MROUND(ABS(O102-P102),0.5)=1,
IF(O102&gt;P102, H102 &amp; " +1.5", B102 &amp; " +1.5"),
IF(O102&gt;P102, B102 &amp; " -1.5", H102 &amp; " -1.5")
)
)
)</f>
        <v/>
      </c>
      <c r="AG102" s="15">
        <f>_xlfn.LET(
_xlpm.winA, O102^1.83 / (O102^1.83 + P102^1.83),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03">
      <c r="A103" s="14" t="n">
        <v>46115</v>
      </c>
      <c r="B103" s="15" t="inlineStr">
        <is>
          <t>RAYS</t>
        </is>
      </c>
      <c r="C103">
        <f>VLOOKUP(B103, 'MLB Data'!$B$5:$D$34, 3, FALSE)</f>
        <v/>
      </c>
      <c r="D103" s="16" t="inlineStr">
        <is>
          <t>BOYLE</t>
        </is>
      </c>
      <c r="E103" s="17" t="n">
        <v>4.31</v>
      </c>
      <c r="F103" s="17">
        <f>VLOOKUP(B103, 'MLB Data'!$F$2:$H$34, 3, FALSE)</f>
        <v/>
      </c>
      <c r="G103" s="19">
        <f>IF((E103*0.6+F103*0.4)&lt;2.5, 2.8, IF((E103*0.6+F103*0.4)&gt;5.5, 5.2, (E103*0.6+F103*0.4)))</f>
        <v/>
      </c>
      <c r="H103" s="15" t="inlineStr">
        <is>
          <t>TWINS</t>
        </is>
      </c>
      <c r="I103">
        <f>VLOOKUP(H103, 'MLB Data'!$B$5:$D$34, 3, FALSE)</f>
        <v/>
      </c>
      <c r="J103" s="16" t="inlineStr">
        <is>
          <t>OBER</t>
        </is>
      </c>
      <c r="K103" s="17" t="n">
        <v>4.85</v>
      </c>
      <c r="L103" s="17">
        <f>VLOOKUP(H103, 'MLB Data'!$F$2:$H$34, 3, FALSE)</f>
        <v/>
      </c>
      <c r="M103" s="17">
        <f>IF((K103*0.6+L103*0.4)&lt;2.5, 2.8, IF((K103*0.6+L103*0.4)&gt;5.5, 5.2, (K103*0.6+L103*0.4)))</f>
        <v/>
      </c>
      <c r="O103" s="18">
        <f>(C103/100) * 4.45 * (M103 / 4.2) * T103</f>
        <v/>
      </c>
      <c r="P103" s="18">
        <f>(I103/100) * 4.45 * (G103 / 4.2) * T103</f>
        <v/>
      </c>
      <c r="Q103" s="18">
        <f>(O103+P103)</f>
        <v/>
      </c>
      <c r="S103" s="15">
        <f>H103</f>
        <v/>
      </c>
      <c r="T103" s="19">
        <f>IF(S103="ROCKIES",1.13,IF(S103="ATHLETICS",1.03,IF(S103="ROYALS",1.03,IF(S103="TWINS",1,IF(S103="TIGERS",1,IF(S103="MARLINS",1.01,IF(S103="REDS",1.05,IF(S103="RED SOX",1.04,IF(S103="YANKEES",1.02,IF(S103="DODGERS",0.99,IF(S103="PADRES",0.96,IF(S103="CUBS",0.98,IF(S103="GIANTS",0.97,IF(S103="MARINERS",0.94,IF(S103="RANGERS",1,IF(S103="ASTROS",0.99,IF(S103="BRAVES",1,IF(S103="METS",0.96,IF(S103="PHILLIES",1.02,IF(S103="BLUE JAYS",1.01,IF(S103="ORIOLES",0.99,IF(S103="RAYS",1.01,IF(S103="GUARDIANS",0.99,IF(S103="WHITE SOX",0.98,IF(S103="ANGELS",1.01,IF(S103="D-BACKS",1.01,IF(S103="BREWERS",0.99,IF(S103="CARDINALS",0.96,IF(S103="PIRATES",1.02,IF(S103="NATIONALS",1,1))))))))))))))))))))))))))))))*IF(W103="",1,(1+((W103-70)/10*0.035)))*IF(U103="DOME",1,IF(U103="IN",1-(V103*0.01),IF(U103="OUT",1+(V103*0.01),IF(OR(U103="L-R",U103="R-L"),1+(V103*0.005),1))))</f>
        <v/>
      </c>
      <c r="U103" s="15" t="inlineStr">
        <is>
          <t>IN</t>
        </is>
      </c>
      <c r="V103" s="15" t="n"/>
      <c r="W103" s="15" t="n">
        <v>39</v>
      </c>
      <c r="Y103">
        <f>B103 &amp; " vs. " &amp; H103</f>
        <v/>
      </c>
      <c r="Z103">
        <f>TRIM(LEFT(Y103, FIND("vs.", Y103)-1))</f>
        <v/>
      </c>
      <c r="AA103">
        <f>TRIM(MID(Y103, FIND(" vs. ", Y103)+4, 100))</f>
        <v/>
      </c>
      <c r="AB103">
        <f>IF(Q103 &gt; VALUE(AC103), "O " &amp; AC103, IF(Q103 &lt; VALUE(AC103), "U " &amp; AC103, AC103))</f>
        <v/>
      </c>
      <c r="AC103" s="15">
        <f>IF(OR(O103="-", P103="-"), "-", MROUND(O103 + P103, 0.5))</f>
        <v/>
      </c>
      <c r="AD103" s="15">
        <f>VALUE(TRIM(RIGHT(AF103, LEN(AF103) - FIND(" ", AF103))))</f>
        <v/>
      </c>
      <c r="AE103" s="15">
        <f>LEFT(AF103,FIND(" ",AF103)-1)</f>
        <v/>
      </c>
      <c r="AF103" s="15">
        <f>IF(OR(O103="-", P103="-"), "-",
IF(MROUND(ABS(O103-P103),0.5)&lt;=0.5,
IF(O103&gt;P103, B103 &amp; " ML", H103 &amp; " ML"),
IF(MROUND(ABS(O103-P103),0.5)=1,
IF(O103&gt;P103, H103 &amp; " +1.5", B103 &amp; " +1.5"),
IF(O103&gt;P103, B103 &amp; " -1.5", H103 &amp; " -1.5")
)
)
)</f>
        <v/>
      </c>
      <c r="AG103" s="15">
        <f>_xlfn.LET(
_xlpm.winA, O103^1.83 / (O103^1.83 + P103^1.83),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04">
      <c r="A104" s="14" t="n">
        <v>46115</v>
      </c>
      <c r="B104" s="15" t="inlineStr">
        <is>
          <t>PHILLIES</t>
        </is>
      </c>
      <c r="C104">
        <f>VLOOKUP(B104, 'MLB Data'!$B$5:$D$34, 3, FALSE)</f>
        <v/>
      </c>
      <c r="D104" s="16" t="inlineStr">
        <is>
          <t>NOLA</t>
        </is>
      </c>
      <c r="E104" s="17" t="n">
        <v>4.5</v>
      </c>
      <c r="F104" s="17">
        <f>VLOOKUP(B104, 'MLB Data'!$F$2:$H$34, 3, FALSE)</f>
        <v/>
      </c>
      <c r="G104" s="19">
        <f>IF((E104*0.6+F104*0.4)&lt;2.5, 2.8, IF((E104*0.6+F104*0.4)&gt;5.5, 5.2, (E104*0.6+F104*0.4)))</f>
        <v/>
      </c>
      <c r="H104" s="15" t="inlineStr">
        <is>
          <t>ROCKIES</t>
        </is>
      </c>
      <c r="I104">
        <f>VLOOKUP(H104, 'MLB Data'!$B$5:$D$34, 3, FALSE)</f>
        <v/>
      </c>
      <c r="J104" s="16" t="inlineStr">
        <is>
          <t>LORENZEN</t>
        </is>
      </c>
      <c r="K104" s="17" t="n">
        <v>5.44</v>
      </c>
      <c r="L104" s="17">
        <f>VLOOKUP(H104, 'MLB Data'!$F$2:$H$34, 3, FALSE)</f>
        <v/>
      </c>
      <c r="M104" s="17">
        <f>IF((K104*0.6+L104*0.4)&lt;2.5, 2.8, IF((K104*0.6+L104*0.4)&gt;5.5, 5.2, (K104*0.6+L104*0.4)))</f>
        <v/>
      </c>
      <c r="O104" s="18">
        <f>(C104/100) * 4.45 * (M104 / 4.2) * T104</f>
        <v/>
      </c>
      <c r="P104" s="18">
        <f>(I104/100) * 4.45 * (G104 / 4.2) * T104</f>
        <v/>
      </c>
      <c r="Q104" s="18">
        <f>(O104+P104)</f>
        <v/>
      </c>
      <c r="S104" s="15">
        <f>H104</f>
        <v/>
      </c>
      <c r="T104" s="19">
        <f>IF(S104="ROCKIES",1.13,IF(S104="ATHLETICS",1.03,IF(S104="ROYALS",1.03,IF(S104="TWINS",1,IF(S104="TIGERS",1,IF(S104="MARLINS",1.01,IF(S104="REDS",1.05,IF(S104="RED SOX",1.04,IF(S104="YANKEES",1.02,IF(S104="DODGERS",0.99,IF(S104="PADRES",0.96,IF(S104="CUBS",0.98,IF(S104="GIANTS",0.97,IF(S104="MARINERS",0.94,IF(S104="RANGERS",1,IF(S104="ASTROS",0.99,IF(S104="BRAVES",1,IF(S104="METS",0.96,IF(S104="PHILLIES",1.02,IF(S104="BLUE JAYS",1.01,IF(S104="ORIOLES",0.99,IF(S104="RAYS",1.01,IF(S104="GUARDIANS",0.99,IF(S104="WHITE SOX",0.98,IF(S104="ANGELS",1.01,IF(S104="D-BACKS",1.01,IF(S104="BREWERS",0.99,IF(S104="CARDINALS",0.96,IF(S104="PIRATES",1.02,IF(S104="NATIONALS",1,1))))))))))))))))))))))))))))))*IF(W104="",1,(1+((W104-70)/10*0.035)))*IF(U104="DOME",1,IF(U104="IN",1-(V104*0.01),IF(U104="OUT",1+(V104*0.01),IF(OR(U104="L-R",U104="R-L"),1+(V104*0.005),1))))</f>
        <v/>
      </c>
      <c r="U104" s="15" t="inlineStr">
        <is>
          <t>IN</t>
        </is>
      </c>
      <c r="V104" s="15" t="n"/>
      <c r="W104" s="15" t="n">
        <v>53</v>
      </c>
      <c r="Y104">
        <f>B104 &amp; " vs. " &amp; H104</f>
        <v/>
      </c>
      <c r="Z104">
        <f>TRIM(LEFT(Y104, FIND("vs.", Y104)-1))</f>
        <v/>
      </c>
      <c r="AA104">
        <f>TRIM(MID(Y104, FIND(" vs. ", Y104)+4, 100))</f>
        <v/>
      </c>
      <c r="AB104">
        <f>IF(Q104 &gt; VALUE(AC104), "O " &amp; AC104, IF(Q104 &lt; VALUE(AC104), "U " &amp; AC104, AC104))</f>
        <v/>
      </c>
      <c r="AC104" s="15">
        <f>IF(OR(O104="-", P104="-"), "-", MROUND(O104 + P104, 0.5))</f>
        <v/>
      </c>
      <c r="AD104" s="15">
        <f>VALUE(TRIM(RIGHT(AF104, LEN(AF104) - FIND(" ", AF104))))</f>
        <v/>
      </c>
      <c r="AE104" s="15">
        <f>LEFT(AF104,FIND(" ",AF104)-1)</f>
        <v/>
      </c>
      <c r="AF104" s="15">
        <f>IF(OR(O104="-", P104="-"), "-",
IF(MROUND(ABS(O104-P104),0.5)&lt;=0.5,
IF(O104&gt;P104, B104 &amp; " ML", H104 &amp; " ML"),
IF(MROUND(ABS(O104-P104),0.5)=1,
IF(O104&gt;P104, H104 &amp; " +1.5", B104 &amp; " +1.5"),
IF(O104&gt;P104, B104 &amp; " -1.5", H104 &amp; " -1.5")
)
)
)</f>
        <v/>
      </c>
      <c r="AG104" s="15">
        <f>_xlfn.LET(
_xlpm.winA, O104^1.83 / (O104^1.83 + P104^1.83),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05">
      <c r="A105" s="14" t="n">
        <v>46115</v>
      </c>
      <c r="B105" s="15" t="inlineStr">
        <is>
          <t>ORIOLES</t>
        </is>
      </c>
      <c r="C105">
        <f>VLOOKUP(B105, 'MLB Data'!$B$5:$D$34, 3, FALSE)</f>
        <v/>
      </c>
      <c r="D105" s="16" t="inlineStr">
        <is>
          <t>BRADISH</t>
        </is>
      </c>
      <c r="E105" s="17" t="n">
        <v>3.95</v>
      </c>
      <c r="F105" s="17">
        <f>VLOOKUP(B105, 'MLB Data'!$F$2:$H$34, 3, FALSE)</f>
        <v/>
      </c>
      <c r="G105" s="19">
        <f>IF((E105*0.6+F105*0.4)&lt;2.5, 2.8, IF((E105*0.6+F105*0.4)&gt;5.5, 5.2, (E105*0.6+F105*0.4)))</f>
        <v/>
      </c>
      <c r="H105" s="15" t="inlineStr">
        <is>
          <t>PIRATES</t>
        </is>
      </c>
      <c r="I105">
        <f>VLOOKUP(H105, 'MLB Data'!$B$5:$D$34, 3, FALSE)</f>
        <v/>
      </c>
      <c r="J105" s="16" t="inlineStr">
        <is>
          <t>KELLER</t>
        </is>
      </c>
      <c r="K105" s="17" t="n">
        <v>4.32</v>
      </c>
      <c r="L105" s="17">
        <f>VLOOKUP(H105, 'MLB Data'!$F$2:$H$34, 3, FALSE)</f>
        <v/>
      </c>
      <c r="M105" s="17">
        <f>IF((K105*0.6+L105*0.4)&lt;2.5, 2.8, IF((K105*0.6+L105*0.4)&gt;5.5, 5.2, (K105*0.6+L105*0.4)))</f>
        <v/>
      </c>
      <c r="O105" s="18">
        <f>(C105/100) * 4.45 * (M105 / 4.2) * T105</f>
        <v/>
      </c>
      <c r="P105" s="18">
        <f>(I105/100) * 4.45 * (G105 / 4.2) * T105</f>
        <v/>
      </c>
      <c r="Q105" s="18">
        <f>(O105+P105)</f>
        <v/>
      </c>
      <c r="S105" s="15">
        <f>H105</f>
        <v/>
      </c>
      <c r="T105" s="19">
        <f>IF(S105="ROCKIES",1.13,IF(S105="ATHLETICS",1.03,IF(S105="ROYALS",1.03,IF(S105="TWINS",1,IF(S105="TIGERS",1,IF(S105="MARLINS",1.01,IF(S105="REDS",1.05,IF(S105="RED SOX",1.04,IF(S105="YANKEES",1.02,IF(S105="DODGERS",0.99,IF(S105="PADRES",0.96,IF(S105="CUBS",0.98,IF(S105="GIANTS",0.97,IF(S105="MARINERS",0.94,IF(S105="RANGERS",1,IF(S105="ASTROS",0.99,IF(S105="BRAVES",1,IF(S105="METS",0.96,IF(S105="PHILLIES",1.02,IF(S105="BLUE JAYS",1.01,IF(S105="ORIOLES",0.99,IF(S105="RAYS",1.01,IF(S105="GUARDIANS",0.99,IF(S105="WHITE SOX",0.98,IF(S105="ANGELS",1.01,IF(S105="D-BACKS",1.01,IF(S105="BREWERS",0.99,IF(S105="CARDINALS",0.96,IF(S105="PIRATES",1.02,IF(S105="NATIONALS",1,1))))))))))))))))))))))))))))))*IF(W105="",1,(1+((W105-70)/10*0.035)))*IF(U105="DOME",1,IF(U105="IN",1-(V105*0.01),IF(U105="OUT",1+(V105*0.01),IF(OR(U105="L-R",U105="R-L"),1+(V105*0.005),1))))</f>
        <v/>
      </c>
      <c r="U105" s="15" t="inlineStr">
        <is>
          <t>OUT</t>
        </is>
      </c>
      <c r="V105" s="15" t="n"/>
      <c r="W105" s="15" t="n">
        <v>76</v>
      </c>
      <c r="Y105">
        <f>B105 &amp; " vs. " &amp; H105</f>
        <v/>
      </c>
      <c r="Z105">
        <f>TRIM(LEFT(Y105, FIND("vs.", Y105)-1))</f>
        <v/>
      </c>
      <c r="AA105">
        <f>TRIM(MID(Y105, FIND(" vs. ", Y105)+4, 100))</f>
        <v/>
      </c>
      <c r="AB105">
        <f>IF(Q105 &gt; VALUE(AC105), "O " &amp; AC105, IF(Q105 &lt; VALUE(AC105), "U " &amp; AC105, AC105))</f>
        <v/>
      </c>
      <c r="AC105" s="15">
        <f>IF(OR(O105="-", P105="-"), "-", MROUND(O105 + P105, 0.5))</f>
        <v/>
      </c>
      <c r="AD105" s="15">
        <f>VALUE(TRIM(RIGHT(AF105, LEN(AF105) - FIND(" ", AF105))))</f>
        <v/>
      </c>
      <c r="AE105" s="15">
        <f>LEFT(AF105,FIND(" ",AF105)-1)</f>
        <v/>
      </c>
      <c r="AF105" s="15">
        <f>IF(OR(O105="-", P105="-"), "-",
IF(MROUND(ABS(O105-P105),0.5)&lt;=0.5,
IF(O105&gt;P105, B105 &amp; " ML", H105 &amp; " ML"),
IF(MROUND(ABS(O105-P105),0.5)=1,
IF(O105&gt;P105, H105 &amp; " +1.5", B105 &amp; " +1.5"),
IF(O105&gt;P105, B105 &amp; " -1.5", H105 &amp; " -1.5")
)
)
)</f>
        <v/>
      </c>
      <c r="AG105" s="15">
        <f>_xlfn.LET(
_xlpm.winA, O105^1.83 / (O105^1.83 + P105^1.83),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06">
      <c r="A106" s="14" t="n">
        <v>46115</v>
      </c>
      <c r="B106" s="15" t="inlineStr">
        <is>
          <t>BREWERS</t>
        </is>
      </c>
      <c r="C106">
        <f>VLOOKUP(B106, 'MLB Data'!$B$5:$D$34, 3, FALSE)</f>
        <v/>
      </c>
      <c r="D106" s="16" t="inlineStr">
        <is>
          <t>PATRICK</t>
        </is>
      </c>
      <c r="E106" s="17" t="n">
        <v>4.25</v>
      </c>
      <c r="F106" s="17">
        <f>VLOOKUP(B106, 'MLB Data'!$F$2:$H$34, 3, FALSE)</f>
        <v/>
      </c>
      <c r="G106" s="19">
        <f>IF((E106*0.6+F106*0.4)&lt;2.5, 2.8, IF((E106*0.6+F106*0.4)&gt;5.5, 5.2, (E106*0.6+F106*0.4)))</f>
        <v/>
      </c>
      <c r="H106" s="15" t="inlineStr">
        <is>
          <t>ROYALS</t>
        </is>
      </c>
      <c r="I106">
        <f>VLOOKUP(H106, 'MLB Data'!$B$5:$D$34, 3, FALSE)</f>
        <v/>
      </c>
      <c r="J106" s="16" t="inlineStr">
        <is>
          <t>AVILA</t>
        </is>
      </c>
      <c r="K106" s="17" t="n">
        <v>3.61</v>
      </c>
      <c r="L106" s="17">
        <f>VLOOKUP(H106, 'MLB Data'!$F$2:$H$34, 3, FALSE)</f>
        <v/>
      </c>
      <c r="M106" s="17">
        <f>IF((K106*0.6+L106*0.4)&lt;2.5, 2.8, IF((K106*0.6+L106*0.4)&gt;5.5, 5.2, (K106*0.6+L106*0.4)))</f>
        <v/>
      </c>
      <c r="O106" s="18">
        <f>(C106/100) * 4.45 * (M106 / 4.2) * T106</f>
        <v/>
      </c>
      <c r="P106" s="18">
        <f>(I106/100) * 4.45 * (G106 / 4.2) * T106</f>
        <v/>
      </c>
      <c r="Q106" s="18">
        <f>(O106+P106)</f>
        <v/>
      </c>
      <c r="S106" s="15">
        <f>H106</f>
        <v/>
      </c>
      <c r="T106" s="19">
        <f>IF(S106="ROCKIES",1.13,IF(S106="ATHLETICS",1.03,IF(S106="ROYALS",1.03,IF(S106="TWINS",1,IF(S106="TIGERS",1,IF(S106="MARLINS",1.01,IF(S106="REDS",1.05,IF(S106="RED SOX",1.04,IF(S106="YANKEES",1.02,IF(S106="DODGERS",0.99,IF(S106="PADRES",0.96,IF(S106="CUBS",0.98,IF(S106="GIANTS",0.97,IF(S106="MARINERS",0.94,IF(S106="RANGERS",1,IF(S106="ASTROS",0.99,IF(S106="BRAVES",1,IF(S106="METS",0.96,IF(S106="PHILLIES",1.02,IF(S106="BLUE JAYS",1.01,IF(S106="ORIOLES",0.99,IF(S106="RAYS",1.01,IF(S106="GUARDIANS",0.99,IF(S106="WHITE SOX",0.98,IF(S106="ANGELS",1.01,IF(S106="D-BACKS",1.01,IF(S106="BREWERS",0.99,IF(S106="CARDINALS",0.96,IF(S106="PIRATES",1.02,IF(S106="NATIONALS",1,1))))))))))))))))))))))))))))))*IF(W106="",1,(1+((W106-70)/10*0.035)))*IF(U106="DOME",1,IF(U106="IN",1-(V106*0.01),IF(U106="OUT",1+(V106*0.01),IF(OR(U106="L-R",U106="R-L"),1+(V106*0.005),1))))</f>
        <v/>
      </c>
      <c r="U106" s="15" t="inlineStr">
        <is>
          <t>OUT</t>
        </is>
      </c>
      <c r="V106" s="15" t="n"/>
      <c r="W106" s="15" t="n">
        <v>68</v>
      </c>
      <c r="Y106">
        <f>B106 &amp; " vs. " &amp; H106</f>
        <v/>
      </c>
      <c r="Z106">
        <f>TRIM(LEFT(Y106, FIND("vs.", Y106)-1))</f>
        <v/>
      </c>
      <c r="AA106">
        <f>TRIM(MID(Y106, FIND(" vs. ", Y106)+4, 100))</f>
        <v/>
      </c>
      <c r="AB106">
        <f>IF(Q106 &gt; VALUE(AC106), "O " &amp; AC106, IF(Q106 &lt; VALUE(AC106), "U " &amp; AC106, AC106))</f>
        <v/>
      </c>
      <c r="AC106" s="15">
        <f>IF(OR(O106="-", P106="-"), "-", MROUND(O106 + P106, 0.5))</f>
        <v/>
      </c>
      <c r="AD106" s="15">
        <f>VALUE(TRIM(RIGHT(AF106, LEN(AF106) - FIND(" ", AF106))))</f>
        <v/>
      </c>
      <c r="AE106" s="15">
        <f>LEFT(AF106,FIND(" ",AF106)-1)</f>
        <v/>
      </c>
      <c r="AF106" s="15">
        <f>IF(OR(O106="-", P106="-"), "-",
IF(MROUND(ABS(O106-P106),0.5)&lt;=0.5,
IF(O106&gt;P106, B106 &amp; " ML", H106 &amp; " ML"),
IF(MROUND(ABS(O106-P106),0.5)=1,
IF(O106&gt;P106, H106 &amp; " +1.5", B106 &amp; " +1.5"),
IF(O106&gt;P106, B106 &amp; " -1.5", H106 &amp; " -1.5")
)
)
)</f>
        <v/>
      </c>
      <c r="AG106" s="15">
        <f>_xlfn.LET(
_xlpm.winA, O106^1.83 / (O106^1.83 + P106^1.83),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07">
      <c r="A107" s="14" t="n">
        <v>46115</v>
      </c>
      <c r="B107" s="15" t="inlineStr">
        <is>
          <t>MARINERS</t>
        </is>
      </c>
      <c r="C107">
        <f>VLOOKUP(B107, 'MLB Data'!$B$5:$D$34, 3, FALSE)</f>
        <v/>
      </c>
      <c r="D107" s="16" t="inlineStr">
        <is>
          <t xml:space="preserve">WOO </t>
        </is>
      </c>
      <c r="E107" s="17" t="n">
        <v>3.53</v>
      </c>
      <c r="F107" s="17">
        <f>VLOOKUP(B107, 'MLB Data'!$F$2:$H$34, 3, FALSE)</f>
        <v/>
      </c>
      <c r="G107" s="19">
        <f>IF((E107*0.6+F107*0.4)&lt;2.5, 2.8, IF((E107*0.6+F107*0.4)&gt;5.5, 5.2, (E107*0.6+F107*0.4)))</f>
        <v/>
      </c>
      <c r="H107" s="15" t="inlineStr">
        <is>
          <t>ANGELS</t>
        </is>
      </c>
      <c r="I107">
        <f>VLOOKUP(H107, 'MLB Data'!$B$5:$D$34, 3, FALSE)</f>
        <v/>
      </c>
      <c r="J107" s="16" t="inlineStr">
        <is>
          <t>DETMERS</t>
        </is>
      </c>
      <c r="K107" s="17" t="n">
        <v>4.11</v>
      </c>
      <c r="L107" s="17">
        <f>VLOOKUP(H107, 'MLB Data'!$F$2:$H$34, 3, FALSE)</f>
        <v/>
      </c>
      <c r="M107" s="17">
        <f>IF((K107*0.6+L107*0.4)&lt;2.5, 2.8, IF((K107*0.6+L107*0.4)&gt;5.5, 5.2, (K107*0.6+L107*0.4)))</f>
        <v/>
      </c>
      <c r="O107" s="18">
        <f>(C107/100) * 4.45 * (M107 / 4.2) * T107</f>
        <v/>
      </c>
      <c r="P107" s="18">
        <f>(I107/100) * 4.45 * (G107 / 4.2) * T107</f>
        <v/>
      </c>
      <c r="Q107" s="18">
        <f>(O107+P107)</f>
        <v/>
      </c>
      <c r="S107" s="15">
        <f>H107</f>
        <v/>
      </c>
      <c r="T107" s="19">
        <f>IF(S107="ROCKIES",1.13,IF(S107="ATHLETICS",1.03,IF(S107="ROYALS",1.03,IF(S107="TWINS",1,IF(S107="TIGERS",1,IF(S107="MARLINS",1.01,IF(S107="REDS",1.05,IF(S107="RED SOX",1.04,IF(S107="YANKEES",1.02,IF(S107="DODGERS",0.99,IF(S107="PADRES",0.96,IF(S107="CUBS",0.98,IF(S107="GIANTS",0.97,IF(S107="MARINERS",0.94,IF(S107="RANGERS",1,IF(S107="ASTROS",0.99,IF(S107="BRAVES",1,IF(S107="METS",0.96,IF(S107="PHILLIES",1.02,IF(S107="BLUE JAYS",1.01,IF(S107="ORIOLES",0.99,IF(S107="RAYS",1.01,IF(S107="GUARDIANS",0.99,IF(S107="WHITE SOX",0.98,IF(S107="ANGELS",1.01,IF(S107="D-BACKS",1.01,IF(S107="BREWERS",0.99,IF(S107="CARDINALS",0.96,IF(S107="PIRATES",1.02,IF(S107="NATIONALS",1,1))))))))))))))))))))))))))))))*IF(W107="",1,(1+((W107-70)/10*0.035)))*IF(U107="DOME",1,IF(U107="IN",1-(V107*0.01),IF(U107="OUT",1+(V107*0.01),IF(OR(U107="L-R",U107="R-L"),1+(V107*0.005),1))))</f>
        <v/>
      </c>
      <c r="U107" s="15" t="inlineStr">
        <is>
          <t>IN</t>
        </is>
      </c>
      <c r="V107" s="15" t="n"/>
      <c r="W107" s="15" t="n">
        <v>77</v>
      </c>
      <c r="Y107">
        <f>B107 &amp; " vs. " &amp; H107</f>
        <v/>
      </c>
      <c r="Z107">
        <f>TRIM(LEFT(Y107, FIND("vs.", Y107)-1))</f>
        <v/>
      </c>
      <c r="AA107">
        <f>TRIM(MID(Y107, FIND(" vs. ", Y107)+4, 100))</f>
        <v/>
      </c>
      <c r="AB107">
        <f>IF(Q107 &gt; VALUE(AC107), "O " &amp; AC107, IF(Q107 &lt; VALUE(AC107), "U " &amp; AC107, AC107))</f>
        <v/>
      </c>
      <c r="AC107" s="15">
        <f>IF(OR(O107="-", P107="-"), "-", MROUND(O107 + P107, 0.5))</f>
        <v/>
      </c>
      <c r="AD107" s="15">
        <f>VALUE(TRIM(RIGHT(AF107, LEN(AF107) - FIND(" ", AF107))))</f>
        <v/>
      </c>
      <c r="AE107" s="15">
        <f>LEFT(AF107,FIND(" ",AF107)-1)</f>
        <v/>
      </c>
      <c r="AF107" s="15">
        <f>IF(OR(O107="-", P107="-"), "-",
IF(MROUND(ABS(O107-P107),0.5)&lt;=0.5,
IF(O107&gt;P107, B107 &amp; " ML", H107 &amp; " ML"),
IF(MROUND(ABS(O107-P107),0.5)=1,
IF(O107&gt;P107, H107 &amp; " +1.5", B107 &amp; " +1.5"),
IF(O107&gt;P107, B107 &amp; " -1.5", H107 &amp; " -1.5")
)
)
)</f>
        <v/>
      </c>
      <c r="AG107" s="15">
        <f>_xlfn.LET(
_xlpm.winA, O107^1.83 / (O107^1.83 + P107^1.83),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08">
      <c r="A108" s="14" t="n">
        <v>46115</v>
      </c>
      <c r="B108" s="15" t="inlineStr">
        <is>
          <t>ASTROS</t>
        </is>
      </c>
      <c r="C108">
        <f>VLOOKUP(B108, 'MLB Data'!$B$5:$D$34, 3, FALSE)</f>
        <v/>
      </c>
      <c r="D108" s="16" t="inlineStr">
        <is>
          <t>JAVIER</t>
        </is>
      </c>
      <c r="E108" s="17" t="n">
        <v>4.94</v>
      </c>
      <c r="F108" s="17">
        <f>VLOOKUP(B108, 'MLB Data'!$F$2:$H$34, 3, FALSE)</f>
        <v/>
      </c>
      <c r="G108" s="19">
        <f>IF((E108*0.6+F108*0.4)&lt;2.5, 2.8, IF((E108*0.6+F108*0.4)&gt;5.5, 5.2, (E108*0.6+F108*0.4)))</f>
        <v/>
      </c>
      <c r="H108" s="15" t="inlineStr">
        <is>
          <t>ATHLETICS</t>
        </is>
      </c>
      <c r="I108">
        <f>VLOOKUP(H108, 'MLB Data'!$B$5:$D$34, 3, FALSE)</f>
        <v/>
      </c>
      <c r="J108" s="16" t="inlineStr">
        <is>
          <t>SPRINGS</t>
        </is>
      </c>
      <c r="K108" s="17" t="n">
        <v>5.42</v>
      </c>
      <c r="L108" s="17">
        <f>VLOOKUP(H108, 'MLB Data'!$F$2:$H$34, 3, FALSE)</f>
        <v/>
      </c>
      <c r="M108" s="17">
        <f>IF((K108*0.6+L108*0.4)&lt;2.5, 2.8, IF((K108*0.6+L108*0.4)&gt;5.5, 5.2, (K108*0.6+L108*0.4)))</f>
        <v/>
      </c>
      <c r="O108" s="18">
        <f>(C108/100) * 4.45 * (M108 / 4.2) * T108</f>
        <v/>
      </c>
      <c r="P108" s="18">
        <f>(I108/100) * 4.45 * (G108 / 4.2) * T108</f>
        <v/>
      </c>
      <c r="Q108" s="18">
        <f>(O108+P108)</f>
        <v/>
      </c>
      <c r="S108" s="15">
        <f>H108</f>
        <v/>
      </c>
      <c r="T108" s="19">
        <f>IF(S108="ROCKIES",1.13,IF(S108="ATHLETICS",1.03,IF(S108="ROYALS",1.03,IF(S108="TWINS",1,IF(S108="TIGERS",1,IF(S108="MARLINS",1.01,IF(S108="REDS",1.05,IF(S108="RED SOX",1.04,IF(S108="YANKEES",1.02,IF(S108="DODGERS",0.99,IF(S108="PADRES",0.96,IF(S108="CUBS",0.98,IF(S108="GIANTS",0.97,IF(S108="MARINERS",0.94,IF(S108="RANGERS",1,IF(S108="ASTROS",0.99,IF(S108="BRAVES",1,IF(S108="METS",0.96,IF(S108="PHILLIES",1.02,IF(S108="BLUE JAYS",1.01,IF(S108="ORIOLES",0.99,IF(S108="RAYS",1.01,IF(S108="GUARDIANS",0.99,IF(S108="WHITE SOX",0.98,IF(S108="ANGELS",1.01,IF(S108="D-BACKS",1.01,IF(S108="BREWERS",0.99,IF(S108="CARDINALS",0.96,IF(S108="PIRATES",1.02,IF(S108="NATIONALS",1,1))))))))))))))))))))))))))))))*IF(W108="",1,(1+((W108-70)/10*0.035)))*IF(U108="DOME",1,IF(U108="IN",1-(V108*0.01),IF(U108="OUT",1+(V108*0.01),IF(OR(U108="L-R",U108="R-L"),1+(V108*0.005),1))))</f>
        <v/>
      </c>
      <c r="U108" s="15" t="inlineStr">
        <is>
          <t>L-R</t>
        </is>
      </c>
      <c r="V108" s="15" t="n"/>
      <c r="W108" s="15" t="n">
        <v>72</v>
      </c>
      <c r="Y108">
        <f>B108 &amp; " vs. " &amp; H108</f>
        <v/>
      </c>
      <c r="Z108">
        <f>TRIM(LEFT(Y108, FIND("vs.", Y108)-1))</f>
        <v/>
      </c>
      <c r="AA108">
        <f>TRIM(MID(Y108, FIND(" vs. ", Y108)+4, 100))</f>
        <v/>
      </c>
      <c r="AB108">
        <f>IF(Q108 &gt; VALUE(AC108), "O " &amp; AC108, IF(Q108 &lt; VALUE(AC108), "U " &amp; AC108, AC108))</f>
        <v/>
      </c>
      <c r="AC108" s="15">
        <f>IF(OR(O108="-", P108="-"), "-", MROUND(O108 + P108, 0.5))</f>
        <v/>
      </c>
      <c r="AD108" s="15">
        <f>VALUE(TRIM(RIGHT(AF108, LEN(AF108) - FIND(" ", AF108))))</f>
        <v/>
      </c>
      <c r="AE108" s="15">
        <f>LEFT(AF108,FIND(" ",AF108)-1)</f>
        <v/>
      </c>
      <c r="AF108" s="15">
        <f>IF(OR(O108="-", P108="-"), "-",
IF(MROUND(ABS(O108-P108),0.5)&lt;=0.5,
IF(O108&gt;P108, B108 &amp; " ML", H108 &amp; " ML"),
IF(MROUND(ABS(O108-P108),0.5)=1,
IF(O108&gt;P108, H108 &amp; " +1.5", B108 &amp; " +1.5"),
IF(O108&gt;P108, B108 &amp; " -1.5", H108 &amp; " -1.5")
)
)
)</f>
        <v/>
      </c>
      <c r="AG108" s="15">
        <f>_xlfn.LET(
_xlpm.winA, O108^1.83 / (O108^1.83 + P108^1.83),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09">
      <c r="A109" s="14" t="n">
        <v>46115</v>
      </c>
      <c r="B109" s="15" t="inlineStr">
        <is>
          <t>BRAVES</t>
        </is>
      </c>
      <c r="C109">
        <f>VLOOKUP(B109, 'MLB Data'!$B$5:$D$34, 3, FALSE)</f>
        <v/>
      </c>
      <c r="D109" s="16" t="inlineStr">
        <is>
          <t>HOLMES</t>
        </is>
      </c>
      <c r="E109" s="17" t="n">
        <v>3.93</v>
      </c>
      <c r="F109" s="17">
        <f>VLOOKUP(B109, 'MLB Data'!$F$2:$H$34, 3, FALSE)</f>
        <v/>
      </c>
      <c r="G109" s="19">
        <f>IF((E109*0.6+F109*0.4)&lt;2.5, 2.8, IF((E109*0.6+F109*0.4)&gt;5.5, 5.2, (E109*0.6+F109*0.4)))</f>
        <v/>
      </c>
      <c r="H109" s="15" t="inlineStr">
        <is>
          <t>D-BACKS</t>
        </is>
      </c>
      <c r="I109">
        <f>VLOOKUP(H109, 'MLB Data'!$B$5:$D$34, 3, FALSE)</f>
        <v/>
      </c>
      <c r="J109" s="16" t="inlineStr">
        <is>
          <t>RODRIGUEZ</t>
        </is>
      </c>
      <c r="K109" s="17" t="n">
        <v>4.34</v>
      </c>
      <c r="L109" s="17">
        <f>VLOOKUP(H109, 'MLB Data'!$F$2:$H$34, 3, FALSE)</f>
        <v/>
      </c>
      <c r="M109" s="17">
        <f>IF((K109*0.6+L109*0.4)&lt;2.5, 2.8, IF((K109*0.6+L109*0.4)&gt;5.5, 5.2, (K109*0.6+L109*0.4)))</f>
        <v/>
      </c>
      <c r="O109" s="18">
        <f>(C109/100) * 4.45 * (M109 / 4.2) * T109</f>
        <v/>
      </c>
      <c r="P109" s="18">
        <f>(I109/100) * 4.45 * (G109 / 4.2) * T109</f>
        <v/>
      </c>
      <c r="Q109" s="18">
        <f>(O109+P109)</f>
        <v/>
      </c>
      <c r="S109" s="15">
        <f>H109</f>
        <v/>
      </c>
      <c r="T109" s="19">
        <f>IF(S109="ROCKIES",1.13,IF(S109="ATHLETICS",1.03,IF(S109="ROYALS",1.03,IF(S109="TWINS",1,IF(S109="TIGERS",1,IF(S109="MARLINS",1.01,IF(S109="REDS",1.05,IF(S109="RED SOX",1.04,IF(S109="YANKEES",1.02,IF(S109="DODGERS",0.99,IF(S109="PADRES",0.96,IF(S109="CUBS",0.98,IF(S109="GIANTS",0.97,IF(S109="MARINERS",0.94,IF(S109="RANGERS",1,IF(S109="ASTROS",0.99,IF(S109="BRAVES",1,IF(S109="METS",0.96,IF(S109="PHILLIES",1.02,IF(S109="BLUE JAYS",1.01,IF(S109="ORIOLES",0.99,IF(S109="RAYS",1.01,IF(S109="GUARDIANS",0.99,IF(S109="WHITE SOX",0.98,IF(S109="ANGELS",1.01,IF(S109="D-BACKS",1.01,IF(S109="BREWERS",0.99,IF(S109="CARDINALS",0.96,IF(S109="PIRATES",1.02,IF(S109="NATIONALS",1,1))))))))))))))))))))))))))))))*IF(W109="",1,(1+((W109-70)/10*0.035)))*IF(U109="DOME",1,IF(U109="IN",1-(V109*0.01),IF(U109="OUT",1+(V109*0.01),IF(OR(U109="L-R",U109="R-L"),1+(V109*0.005),1))))</f>
        <v/>
      </c>
      <c r="U109" s="15" t="inlineStr">
        <is>
          <t>R-L</t>
        </is>
      </c>
      <c r="V109" s="15" t="n"/>
      <c r="W109" s="15" t="n">
        <v>83</v>
      </c>
      <c r="Y109">
        <f>B109 &amp; " vs. " &amp; H109</f>
        <v/>
      </c>
      <c r="Z109">
        <f>TRIM(LEFT(Y109, FIND("vs.", Y109)-1))</f>
        <v/>
      </c>
      <c r="AA109">
        <f>TRIM(MID(Y109, FIND(" vs. ", Y109)+4, 100))</f>
        <v/>
      </c>
      <c r="AB109">
        <f>IF(Q109 &gt; VALUE(AC109), "O " &amp; AC109, IF(Q109 &lt; VALUE(AC109), "U " &amp; AC109, AC109))</f>
        <v/>
      </c>
      <c r="AC109" s="15">
        <f>IF(OR(O109="-", P109="-"), "-", MROUND(O109 + P109, 0.5))</f>
        <v/>
      </c>
      <c r="AD109" s="15">
        <f>VALUE(TRIM(RIGHT(AF109, LEN(AF109) - FIND(" ", AF109))))</f>
        <v/>
      </c>
      <c r="AE109" s="15">
        <f>LEFT(AF109,FIND(" ",AF109)-1)</f>
        <v/>
      </c>
      <c r="AF109" s="15">
        <f>IF(OR(O109="-", P109="-"), "-",
IF(MROUND(ABS(O109-P109),0.5)&lt;=0.5,
IF(O109&gt;P109, B109 &amp; " ML", H109 &amp; " ML"),
IF(MROUND(ABS(O109-P109),0.5)=1,
IF(O109&gt;P109, H109 &amp; " +1.5", B109 &amp; " +1.5"),
IF(O109&gt;P109, B109 &amp; " -1.5", H109 &amp; " -1.5")
)
)
)</f>
        <v/>
      </c>
      <c r="AG109" s="15">
        <f>_xlfn.LET(
_xlpm.winA, O109^1.83 / (O109^1.83 + P109^1.83),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10">
      <c r="A110" s="14" t="n">
        <v>46115</v>
      </c>
      <c r="B110" s="15" t="inlineStr">
        <is>
          <t>METS</t>
        </is>
      </c>
      <c r="C110">
        <f>VLOOKUP(B110, 'MLB Data'!$B$5:$D$34, 3, FALSE)</f>
        <v/>
      </c>
      <c r="D110" s="16" t="inlineStr">
        <is>
          <t>MCLEAN</t>
        </is>
      </c>
      <c r="E110" s="17" t="n">
        <v>3.79</v>
      </c>
      <c r="F110" s="17">
        <f>VLOOKUP(B110, 'MLB Data'!$F$2:$H$34, 3, FALSE)</f>
        <v/>
      </c>
      <c r="G110" s="17">
        <f>IF((E110*0.6+F110*0.4)&lt;2.5, 2.8, IF((E110*0.6+F110*0.4)&gt;5.5, 5.2, (E110*0.6+F110*0.4)))</f>
        <v/>
      </c>
      <c r="H110" s="15" t="inlineStr">
        <is>
          <t>GIANTS</t>
        </is>
      </c>
      <c r="I110">
        <f>VLOOKUP(H110, 'MLB Data'!$B$5:$D$34, 3, FALSE)</f>
        <v/>
      </c>
      <c r="J110" s="16" t="inlineStr">
        <is>
          <t>MAHLE</t>
        </is>
      </c>
      <c r="K110" s="17" t="n">
        <v>4.36</v>
      </c>
      <c r="L110" s="17">
        <f>VLOOKUP(H110, 'MLB Data'!$F$2:$H$34, 3, FALSE)</f>
        <v/>
      </c>
      <c r="M110" s="17">
        <f>IF((K110*0.6+L110*0.4)&lt;2.5, 2.8, IF((K110*0.6+L110*0.4)&gt;5.5, 5.2, (K110*0.6+L110*0.4)))</f>
        <v/>
      </c>
      <c r="O110" s="18">
        <f>(C110/100) * 4.45 * (M110 / 4.2) * T110</f>
        <v/>
      </c>
      <c r="P110" s="18">
        <f>(I110/100) * 4.45 * (G110 / 4.2) * T110</f>
        <v/>
      </c>
      <c r="Q110" s="18">
        <f>(O110+P110)</f>
        <v/>
      </c>
      <c r="S110" s="15">
        <f>H110</f>
        <v/>
      </c>
      <c r="T110" s="19">
        <f>IF(S110="ROCKIES",1.13,IF(S110="ATHLETICS",1.03,IF(S110="ROYALS",1.03,IF(S110="TWINS",1,IF(S110="TIGERS",1,IF(S110="MARLINS",1.01,IF(S110="REDS",1.05,IF(S110="RED SOX",1.04,IF(S110="YANKEES",1.02,IF(S110="DODGERS",0.99,IF(S110="PADRES",0.96,IF(S110="CUBS",0.98,IF(S110="GIANTS",0.97,IF(S110="MARINERS",0.94,IF(S110="RANGERS",1,IF(S110="ASTROS",0.99,IF(S110="BRAVES",1,IF(S110="METS",0.96,IF(S110="PHILLIES",1.02,IF(S110="BLUE JAYS",1.01,IF(S110="ORIOLES",0.99,IF(S110="RAYS",1.01,IF(S110="GUARDIANS",0.99,IF(S110="WHITE SOX",0.98,IF(S110="ANGELS",1.01,IF(S110="D-BACKS",1.01,IF(S110="BREWERS",0.99,IF(S110="CARDINALS",0.96,IF(S110="PIRATES",1.02,IF(S110="NATIONALS",1,1))))))))))))))))))))))))))))))*IF(W110="",1,(1+((W110-70)/10*0.035)))*IF(U110="DOME",1,IF(U110="IN",1-(V110*0.01),IF(U110="OUT",1+(V110*0.01),IF(OR(U110="L-R",U110="R-L"),1+(V110*0.005),1))))</f>
        <v/>
      </c>
      <c r="U110" s="15" t="inlineStr">
        <is>
          <t>OUT</t>
        </is>
      </c>
      <c r="V110" s="15" t="n"/>
      <c r="W110" s="15" t="n">
        <v>63</v>
      </c>
      <c r="Y110">
        <f>B110 &amp; " vs. " &amp; H110</f>
        <v/>
      </c>
      <c r="Z110">
        <f>TRIM(LEFT(Y110, FIND("vs.", Y110)-1))</f>
        <v/>
      </c>
      <c r="AA110">
        <f>TRIM(MID(Y110, FIND(" vs. ", Y110)+4, 100))</f>
        <v/>
      </c>
      <c r="AB110">
        <f>IF(Q110 &gt; VALUE(AC110), "O " &amp; AC110, IF(Q110 &lt; VALUE(AC110), "U " &amp; AC110, AC110))</f>
        <v/>
      </c>
      <c r="AC110" s="15">
        <f>IF(OR(O110="-", P110="-"), "-", MROUND(O110 + P110, 0.5))</f>
        <v/>
      </c>
      <c r="AD110" s="15">
        <f>VALUE(TRIM(RIGHT(AF110, LEN(AF110) - FIND(" ", AF110))))</f>
        <v/>
      </c>
      <c r="AE110" s="15">
        <f>LEFT(AF110,FIND(" ",AF110)-1)</f>
        <v/>
      </c>
      <c r="AF110" s="15">
        <f>IF(OR(O110="-", P110="-"), "-",
IF(MROUND(ABS(O110-P110),0.5)&lt;=0.5,
IF(O110&gt;P110, B110 &amp; " ML", H110 &amp; " ML"),
IF(MROUND(ABS(O110-P110),0.5)=1,
IF(O110&gt;P110, H110 &amp; " +1.5", B110 &amp; " +1.5"),
IF(O110&gt;P110, B110 &amp; " -1.5", H110 &amp; " -1.5")
)
)
)</f>
        <v/>
      </c>
      <c r="AG110" s="15">
        <f>_xlfn.LET(
_xlpm.winA, O110^1.83 / (O110^1.83 + P110^1.83),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11">
      <c r="A111" s="14" t="n">
        <v>46116</v>
      </c>
      <c r="B111" s="15" t="inlineStr">
        <is>
          <t>CARDINALS</t>
        </is>
      </c>
      <c r="C111">
        <f>VLOOKUP(B111, 'MLB Data'!$B$5:$D$34, 3, FALSE)</f>
        <v/>
      </c>
      <c r="D111" s="16" t="inlineStr">
        <is>
          <t>MAY</t>
        </is>
      </c>
      <c r="E111" s="17" t="n">
        <v>4.11</v>
      </c>
      <c r="F111" s="17">
        <f>VLOOKUP(B111, 'MLB Data'!$F$2:$H$34, 3, FALSE)</f>
        <v/>
      </c>
      <c r="G111" s="17">
        <f>IF((E111*0.6+F111*0.4)&lt;2.5, 2.8, IF((E111*0.6+F111*0.4)&gt;5.5, 5.2, (E111*0.6+F111*0.4)))</f>
        <v/>
      </c>
      <c r="H111" s="15" t="inlineStr">
        <is>
          <t>TIGERS</t>
        </is>
      </c>
      <c r="I111">
        <f>VLOOKUP(H111, 'MLB Data'!$B$5:$D$34, 3, FALSE)</f>
        <v/>
      </c>
      <c r="J111" s="16" t="inlineStr">
        <is>
          <t>FLAHERTY</t>
        </is>
      </c>
      <c r="K111" s="17" t="n">
        <v>3.96</v>
      </c>
      <c r="L111" s="17">
        <f>VLOOKUP(H111, 'MLB Data'!$F$2:$H$34, 3, FALSE)</f>
        <v/>
      </c>
      <c r="M111" s="17">
        <f>IF((K111*0.6+L111*0.4)&lt;2.5, 2.8, IF((K111*0.6+L111*0.4)&gt;5.5, 5.2, (K111*0.6+L111*0.4)))</f>
        <v/>
      </c>
      <c r="O111" s="18">
        <f>(C111/100) * 4.45 * (M111 / 4.2) * T111</f>
        <v/>
      </c>
      <c r="P111" s="18">
        <f>(I111/100) * 4.45 * (G111 / 4.2) * T111</f>
        <v/>
      </c>
      <c r="Q111" s="18">
        <f>(O111+P111)</f>
        <v/>
      </c>
      <c r="S111" s="15">
        <f>H111</f>
        <v/>
      </c>
      <c r="T111" s="19">
        <f>IF(S111="ROCKIES",1.13,IF(S111="ATHLETICS",1.03,IF(S111="ROYALS",1.03,IF(S111="TWINS",1,IF(S111="TIGERS",1,IF(S111="MARLINS",1.01,IF(S111="REDS",1.05,IF(S111="RED SOX",1.04,IF(S111="YANKEES",1.02,IF(S111="DODGERS",0.99,IF(S111="PADRES",0.96,IF(S111="CUBS",0.98,IF(S111="GIANTS",0.97,IF(S111="MARINERS",0.94,IF(S111="RANGERS",1,IF(S111="ASTROS",0.99,IF(S111="BRAVES",1,IF(S111="METS",0.96,IF(S111="PHILLIES",1.02,IF(S111="BLUE JAYS",1.01,IF(S111="ORIOLES",0.99,IF(S111="RAYS",1.01,IF(S111="GUARDIANS",0.99,IF(S111="WHITE SOX",0.98,IF(S111="ANGELS",1.01,IF(S111="D-BACKS",1.01,IF(S111="BREWERS",0.99,IF(S111="CARDINALS",0.96,IF(S111="PIRATES",1.02,IF(S111="NATIONALS",1,1))))))))))))))))))))))))))))))*IF(W111="",1,(1+((W111-70)/10*0.035)))*IF(U111="DOME",1,IF(U111="IN",1-(V111*0.01),IF(U111="OUT",1+(V111*0.01),IF(OR(U111="L-R",U111="R-L"),1+(V111*0.005),1))))</f>
        <v/>
      </c>
      <c r="U111" s="15" t="inlineStr">
        <is>
          <t>IN</t>
        </is>
      </c>
      <c r="V111" s="15" t="n"/>
      <c r="W111" s="15" t="n">
        <v>58</v>
      </c>
      <c r="Y111" s="21">
        <f>B111 &amp; " vs. " &amp; H111</f>
        <v/>
      </c>
      <c r="Z111" s="21">
        <f>TRIM(LEFT(Y111, FIND("vs.", Y111)-1))</f>
        <v/>
      </c>
      <c r="AA111" s="21">
        <f>TRIM(MID(Y111, FIND(" vs. ", Y111)+4, 100))</f>
        <v/>
      </c>
      <c r="AB111" s="21">
        <f>IF(Q111 &gt; VALUE(AC111), "O " &amp; AC111, IF(Q111 &lt; VALUE(AC111), "U " &amp; AC111, AC111))</f>
        <v/>
      </c>
      <c r="AC111" s="22">
        <f>IF(OR(O111="-", P111="-"), "-", MROUND(O111 + P111, 0.5))</f>
        <v/>
      </c>
      <c r="AD111" s="22">
        <f>VALUE(TRIM(RIGHT(AF111, LEN(AF111) - FIND(" ", AF111))))</f>
        <v/>
      </c>
      <c r="AE111" s="22">
        <f>LEFT(AF111,FIND(" ",AF111)-1)</f>
        <v/>
      </c>
      <c r="AF111" s="22">
        <f>IF(OR(O111="-", P111="-"), "-",
IF(MROUND(ABS(O111-P111),0.5)&lt;=0.5,
IF(O111&gt;P111, B111 &amp; " ML", H111 &amp; " ML"),
IF(MROUND(ABS(O111-P111),0.5)=1,
IF(O111&gt;P111, H111 &amp; " +1.5", B111 &amp; " +1.5"),
IF(O111&gt;P111, B111 &amp; " -1.5", H111 &amp; " -1.5")
)
)
)</f>
        <v/>
      </c>
      <c r="AG111" s="22">
        <f>_xlfn.LET(
_xlpm.winA, O111^1.83 / (O111^1.83 + P111^1.83),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12">
      <c r="A112" s="14" t="n">
        <v>46116</v>
      </c>
      <c r="B112" s="15" t="inlineStr">
        <is>
          <t>BLUE JAYS</t>
        </is>
      </c>
      <c r="C112">
        <f>VLOOKUP(B112, 'MLB Data'!$B$5:$D$34, 3, FALSE)</f>
        <v/>
      </c>
      <c r="D112" s="16" t="inlineStr">
        <is>
          <t>FLUHARTY</t>
        </is>
      </c>
      <c r="E112" s="17" t="n">
        <v>4.02</v>
      </c>
      <c r="F112" s="17">
        <f>VLOOKUP(B112, 'MLB Data'!$F$2:$H$34, 3, FALSE)</f>
        <v/>
      </c>
      <c r="G112" s="17">
        <f>IF((E112*0.6+F112*0.4)&lt;2.5, 2.8, IF((E112*0.6+F112*0.4)&gt;5.5, 5.2, (E112*0.6+F112*0.4)))</f>
        <v/>
      </c>
      <c r="H112" s="15" t="inlineStr">
        <is>
          <t>WHITE SOX</t>
        </is>
      </c>
      <c r="I112">
        <f>VLOOKUP(H112, 'MLB Data'!$B$5:$D$34, 3, FALSE)</f>
        <v/>
      </c>
      <c r="J112" s="16" t="inlineStr">
        <is>
          <t>G. TAYLOR</t>
        </is>
      </c>
      <c r="K112" s="17" t="n">
        <v>2.93</v>
      </c>
      <c r="L112" s="17">
        <f>VLOOKUP(H112, 'MLB Data'!$F$2:$H$34, 3, FALSE)</f>
        <v/>
      </c>
      <c r="M112" s="17">
        <f>IF((K112*0.6+L112*0.4)&lt;2.5, 2.8, IF((K112*0.6+L112*0.4)&gt;5.5, 5.2, (K112*0.6+L112*0.4)))</f>
        <v/>
      </c>
      <c r="O112" s="18">
        <f>(C112/100) * 4.45 * (M112 / 4.2) * T112</f>
        <v/>
      </c>
      <c r="P112" s="18">
        <f>(I112/100) * 4.45 * (G112 / 4.2) * T112</f>
        <v/>
      </c>
      <c r="Q112" s="18">
        <f>(O112+P112)</f>
        <v/>
      </c>
      <c r="S112" s="15">
        <f>H112</f>
        <v/>
      </c>
      <c r="T112" s="19">
        <f>IF(S112="ROCKIES",1.13,IF(S112="ATHLETICS",1.03,IF(S112="ROYALS",1.03,IF(S112="TWINS",1,IF(S112="TIGERS",1,IF(S112="MARLINS",1.01,IF(S112="REDS",1.05,IF(S112="RED SOX",1.04,IF(S112="YANKEES",1.02,IF(S112="DODGERS",0.99,IF(S112="PADRES",0.96,IF(S112="CUBS",0.98,IF(S112="GIANTS",0.97,IF(S112="MARINERS",0.94,IF(S112="RANGERS",1,IF(S112="ASTROS",0.99,IF(S112="BRAVES",1,IF(S112="METS",0.96,IF(S112="PHILLIES",1.02,IF(S112="BLUE JAYS",1.01,IF(S112="ORIOLES",0.99,IF(S112="RAYS",1.01,IF(S112="GUARDIANS",0.99,IF(S112="WHITE SOX",0.98,IF(S112="ANGELS",1.01,IF(S112="D-BACKS",1.01,IF(S112="BREWERS",0.99,IF(S112="CARDINALS",0.96,IF(S112="PIRATES",1.02,IF(S112="NATIONALS",1,1))))))))))))))))))))))))))))))*IF(W112="",1,(1+((W112-70)/10*0.035)))*IF(U112="DOME",1,IF(U112="IN",1-(V112*0.01),IF(U112="OUT",1+(V112*0.01),IF(OR(U112="L-R",U112="R-L"),1+(V112*0.005),1))))</f>
        <v/>
      </c>
      <c r="U112" s="15" t="inlineStr">
        <is>
          <t>OUT</t>
        </is>
      </c>
      <c r="V112" s="15" t="n"/>
      <c r="W112" s="15" t="n">
        <v>53</v>
      </c>
      <c r="Y112" s="21">
        <f>B112 &amp; " vs. " &amp; H112</f>
        <v/>
      </c>
      <c r="Z112" s="21">
        <f>TRIM(LEFT(Y112, FIND("vs.", Y112)-1))</f>
        <v/>
      </c>
      <c r="AA112" s="21">
        <f>TRIM(MID(Y112, FIND(" vs. ", Y112)+4, 100))</f>
        <v/>
      </c>
      <c r="AB112" s="21">
        <f>IF(Q112 &gt; VALUE(AC112), "O " &amp; AC112, IF(Q112 &lt; VALUE(AC112), "U " &amp; AC112, AC112))</f>
        <v/>
      </c>
      <c r="AC112" s="22">
        <f>IF(OR(O112="-", P112="-"), "-", MROUND(O112 + P112, 0.5))</f>
        <v/>
      </c>
      <c r="AD112" s="22">
        <f>VALUE(TRIM(RIGHT(AF112, LEN(AF112) - FIND(" ", AF112))))</f>
        <v/>
      </c>
      <c r="AE112" s="22">
        <f>LEFT(AF112,FIND(" ",AF112)-1)</f>
        <v/>
      </c>
      <c r="AF112" s="22">
        <f>IF(OR(O112="-", P112="-"), "-",
IF(MROUND(ABS(O112-P112),0.5)&lt;=0.5,
IF(O112&gt;P112, B112 &amp; " ML", H112 &amp; " ML"),
IF(MROUND(ABS(O112-P112),0.5)=1,
IF(O112&gt;P112, H112 &amp; " +1.5", B112 &amp; " +1.5"),
IF(O112&gt;P112, B112 &amp; " -1.5", H112 &amp; " -1.5")
)
)
)</f>
        <v/>
      </c>
      <c r="AG112" s="22">
        <f>_xlfn.LET(
_xlpm.winA, O112^1.83 / (O112^1.83 + P112^1.83),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13">
      <c r="A113" s="14" t="n">
        <v>46116</v>
      </c>
      <c r="B113" s="15" t="inlineStr">
        <is>
          <t>DODGERS</t>
        </is>
      </c>
      <c r="C113">
        <f>VLOOKUP(B113, 'MLB Data'!$B$5:$D$34, 3, FALSE)</f>
        <v/>
      </c>
      <c r="D113" s="16" t="inlineStr">
        <is>
          <t>GLASNOW</t>
        </is>
      </c>
      <c r="E113" s="17" t="n">
        <v>3.91</v>
      </c>
      <c r="F113" s="17">
        <f>VLOOKUP(B113, 'MLB Data'!$F$2:$H$34, 3, FALSE)</f>
        <v/>
      </c>
      <c r="G113" s="17">
        <f>IF((E113*0.6+F113*0.4)&lt;2.5, 2.8, IF((E113*0.6+F113*0.4)&gt;5.5, 5.2, (E113*0.6+F113*0.4)))</f>
        <v/>
      </c>
      <c r="H113" s="15" t="inlineStr">
        <is>
          <t>NATIONALS</t>
        </is>
      </c>
      <c r="I113">
        <f>VLOOKUP(H113, 'MLB Data'!$B$5:$D$34, 3, FALSE)</f>
        <v/>
      </c>
      <c r="J113" s="16" t="inlineStr">
        <is>
          <t>IRVIN</t>
        </is>
      </c>
      <c r="K113" s="17" t="n">
        <v>5.06</v>
      </c>
      <c r="L113" s="17">
        <f>VLOOKUP(H113, 'MLB Data'!$F$2:$H$34, 3, FALSE)</f>
        <v/>
      </c>
      <c r="M113" s="17">
        <f>IF((K113*0.6+L113*0.4)&lt;2.5, 2.8, IF((K113*0.6+L113*0.4)&gt;5.5, 5.2, (K113*0.6+L113*0.4)))</f>
        <v/>
      </c>
      <c r="O113" s="18">
        <f>(C113/100) * 4.45 * (M113 / 4.2) * T113</f>
        <v/>
      </c>
      <c r="P113" s="18">
        <f>(I113/100) * 4.45 * (G113 / 4.2) * T113</f>
        <v/>
      </c>
      <c r="Q113" s="18">
        <f>(O113+P113)</f>
        <v/>
      </c>
      <c r="S113" s="15">
        <f>H113</f>
        <v/>
      </c>
      <c r="T113" s="19">
        <f>IF(S113="ROCKIES",1.13,IF(S113="ATHLETICS",1.03,IF(S113="ROYALS",1.03,IF(S113="TWINS",1,IF(S113="TIGERS",1,IF(S113="MARLINS",1.01,IF(S113="REDS",1.05,IF(S113="RED SOX",1.04,IF(S113="YANKEES",1.02,IF(S113="DODGERS",0.99,IF(S113="PADRES",0.96,IF(S113="CUBS",0.98,IF(S113="GIANTS",0.97,IF(S113="MARINERS",0.94,IF(S113="RANGERS",1,IF(S113="ASTROS",0.99,IF(S113="BRAVES",1,IF(S113="METS",0.96,IF(S113="PHILLIES",1.02,IF(S113="BLUE JAYS",1.01,IF(S113="ORIOLES",0.99,IF(S113="RAYS",1.01,IF(S113="GUARDIANS",0.99,IF(S113="WHITE SOX",0.98,IF(S113="ANGELS",1.01,IF(S113="D-BACKS",1.01,IF(S113="BREWERS",0.99,IF(S113="CARDINALS",0.96,IF(S113="PIRATES",1.02,IF(S113="NATIONALS",1,1))))))))))))))))))))))))))))))*IF(W113="",1,(1+((W113-70)/10*0.035)))*IF(U113="DOME",1,IF(U113="IN",1-(V113*0.01),IF(U113="OUT",1+(V113*0.01),IF(OR(U113="L-R",U113="R-L"),1+(V113*0.005),1))))</f>
        <v/>
      </c>
      <c r="U113" s="15" t="inlineStr">
        <is>
          <t>OUT</t>
        </is>
      </c>
      <c r="V113" s="15" t="n"/>
      <c r="W113" s="15" t="n">
        <v>84</v>
      </c>
      <c r="Y113" s="21">
        <f>B113 &amp; " vs. " &amp; H113</f>
        <v/>
      </c>
      <c r="Z113" s="21">
        <f>TRIM(LEFT(Y113, FIND("vs.", Y113)-1))</f>
        <v/>
      </c>
      <c r="AA113" s="21">
        <f>TRIM(MID(Y113, FIND(" vs. ", Y113)+4, 100))</f>
        <v/>
      </c>
      <c r="AB113" s="21">
        <f>IF(Q113 &gt; VALUE(AC113), "O " &amp; AC113, IF(Q113 &lt; VALUE(AC113), "U " &amp; AC113, AC113))</f>
        <v/>
      </c>
      <c r="AC113" s="22">
        <f>IF(OR(O113="-", P113="-"), "-", MROUND(O113 + P113, 0.5))</f>
        <v/>
      </c>
      <c r="AD113" s="22">
        <f>VALUE(TRIM(RIGHT(AF113, LEN(AF113) - FIND(" ", AF113))))</f>
        <v/>
      </c>
      <c r="AE113" s="22">
        <f>LEFT(AF113,FIND(" ",AF113)-1)</f>
        <v/>
      </c>
      <c r="AF113" s="22">
        <f>IF(OR(O113="-", P113="-"), "-",
IF(MROUND(ABS(O113-P113),0.5)&lt;=0.5,
IF(O113&gt;P113, B113 &amp; " ML", H113 &amp; " ML"),
IF(MROUND(ABS(O113-P113),0.5)=1,
IF(O113&gt;P113, H113 &amp; " +1.5", B113 &amp; " +1.5"),
IF(O113&gt;P113, B113 &amp; " -1.5", H113 &amp; " -1.5")
)
)
)</f>
        <v/>
      </c>
      <c r="AG113" s="22">
        <f>_xlfn.LET(
_xlpm.winA, O113^1.83 / (O113^1.83 + P113^1.83),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14">
      <c r="A114" s="14" t="n">
        <v>46116</v>
      </c>
      <c r="B114" s="15" t="inlineStr">
        <is>
          <t>ASTROS</t>
        </is>
      </c>
      <c r="C114">
        <f>VLOOKUP(B114, 'MLB Data'!$B$5:$D$34, 3, FALSE)</f>
        <v/>
      </c>
      <c r="D114" s="16" t="inlineStr">
        <is>
          <t>IMAI</t>
        </is>
      </c>
      <c r="E114" s="17" t="n">
        <v>4.36</v>
      </c>
      <c r="F114" s="17">
        <f>VLOOKUP(B114, 'MLB Data'!$F$2:$H$34, 3, FALSE)</f>
        <v/>
      </c>
      <c r="G114" s="17">
        <f>IF((E114*0.6+F114*0.4)&lt;2.5, 2.8, IF((E114*0.6+F114*0.4)&gt;5.5, 5.2, (E114*0.6+F114*0.4)))</f>
        <v/>
      </c>
      <c r="H114" s="15" t="inlineStr">
        <is>
          <t>ATHLETICS</t>
        </is>
      </c>
      <c r="I114">
        <f>VLOOKUP(H114, 'MLB Data'!$B$5:$D$34, 3, FALSE)</f>
        <v/>
      </c>
      <c r="J114" s="16" t="inlineStr">
        <is>
          <t>MORALES</t>
        </is>
      </c>
      <c r="K114" s="17" t="n">
        <v>4.45</v>
      </c>
      <c r="L114" s="17">
        <f>VLOOKUP(H114, 'MLB Data'!$F$2:$H$34, 3, FALSE)</f>
        <v/>
      </c>
      <c r="M114" s="17">
        <f>IF((K114*0.6+L114*0.4)&lt;2.5, 2.8, IF((K114*0.6+L114*0.4)&gt;5.5, 5.2, (K114*0.6+L114*0.4)))</f>
        <v/>
      </c>
      <c r="O114" s="18">
        <f>(C114/100) * 4.45 * (M114 / 4.2) * T114</f>
        <v/>
      </c>
      <c r="P114" s="18">
        <f>(I114/100) * 4.45 * (G114 / 4.2) * T114</f>
        <v/>
      </c>
      <c r="Q114" s="18">
        <f>(O114+P114)</f>
        <v/>
      </c>
      <c r="S114" s="15">
        <f>H114</f>
        <v/>
      </c>
      <c r="T114" s="19">
        <f>IF(S114="ROCKIES",1.13,IF(S114="ATHLETICS",1.03,IF(S114="ROYALS",1.03,IF(S114="TWINS",1,IF(S114="TIGERS",1,IF(S114="MARLINS",1.01,IF(S114="REDS",1.05,IF(S114="RED SOX",1.04,IF(S114="YANKEES",1.02,IF(S114="DODGERS",0.99,IF(S114="PADRES",0.96,IF(S114="CUBS",0.98,IF(S114="GIANTS",0.97,IF(S114="MARINERS",0.94,IF(S114="RANGERS",1,IF(S114="ASTROS",0.99,IF(S114="BRAVES",1,IF(S114="METS",0.96,IF(S114="PHILLIES",1.02,IF(S114="BLUE JAYS",1.01,IF(S114="ORIOLES",0.99,IF(S114="RAYS",1.01,IF(S114="GUARDIANS",0.99,IF(S114="WHITE SOX",0.98,IF(S114="ANGELS",1.01,IF(S114="D-BACKS",1.01,IF(S114="BREWERS",0.99,IF(S114="CARDINALS",0.96,IF(S114="PIRATES",1.02,IF(S114="NATIONALS",1,1))))))))))))))))))))))))))))))*IF(W114="",1,(1+((W114-70)/10*0.035)))*IF(U114="DOME",1,IF(U114="IN",1-(V114*0.01),IF(U114="OUT",1+(V114*0.01),IF(OR(U114="L-R",U114="R-L"),1+(V114*0.005),1))))</f>
        <v/>
      </c>
      <c r="U114" s="15" t="inlineStr">
        <is>
          <t>R-L</t>
        </is>
      </c>
      <c r="V114" s="15" t="n"/>
      <c r="W114" s="15" t="n">
        <v>78</v>
      </c>
      <c r="Y114" s="21">
        <f>B114 &amp; " vs. " &amp; H114</f>
        <v/>
      </c>
      <c r="Z114" s="21">
        <f>TRIM(LEFT(Y114, FIND("vs.", Y114)-1))</f>
        <v/>
      </c>
      <c r="AA114" s="21">
        <f>TRIM(MID(Y114, FIND(" vs. ", Y114)+4, 100))</f>
        <v/>
      </c>
      <c r="AB114" s="21">
        <f>IF(Q114 &gt; VALUE(AC114), "O " &amp; AC114, IF(Q114 &lt; VALUE(AC114), "U " &amp; AC114, AC114))</f>
        <v/>
      </c>
      <c r="AC114" s="22">
        <f>IF(OR(O114="-", P114="-"), "-", MROUND(O114 + P114, 0.5))</f>
        <v/>
      </c>
      <c r="AD114" s="22">
        <f>VALUE(TRIM(RIGHT(AF114, LEN(AF114) - FIND(" ", AF114))))</f>
        <v/>
      </c>
      <c r="AE114" s="22">
        <f>LEFT(AF114,FIND(" ",AF114)-1)</f>
        <v/>
      </c>
      <c r="AF114" s="22">
        <f>IF(OR(O114="-", P114="-"), "-",
IF(MROUND(ABS(O114-P114),0.5)&lt;=0.5,
IF(O114&gt;P114, B114 &amp; " ML", H114 &amp; " ML"),
IF(MROUND(ABS(O114-P114),0.5)=1,
IF(O114&gt;P114, H114 &amp; " +1.5", B114 &amp; " +1.5"),
IF(O114&gt;P114, B114 &amp; " -1.5", H114 &amp; " -1.5")
)
)
)</f>
        <v/>
      </c>
      <c r="AG114" s="22">
        <f>_xlfn.LET(
_xlpm.winA, O114^1.83 / (O114^1.83 + P114^1.83),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15">
      <c r="A115" s="14" t="n">
        <v>46116</v>
      </c>
      <c r="B115" s="15" t="inlineStr">
        <is>
          <t>ORIOLES</t>
        </is>
      </c>
      <c r="C115">
        <f>VLOOKUP(B115, 'MLB Data'!$B$5:$D$34, 3, FALSE)</f>
        <v/>
      </c>
      <c r="D115" s="16" t="inlineStr">
        <is>
          <t>BAZ</t>
        </is>
      </c>
      <c r="E115" s="17" t="n">
        <v>4.61</v>
      </c>
      <c r="F115" s="17">
        <f>VLOOKUP(B115, 'MLB Data'!$F$2:$H$34, 3, FALSE)</f>
        <v/>
      </c>
      <c r="G115" s="17">
        <f>IF((E115*0.6+F115*0.4)&lt;2.5, 2.8, IF((E115*0.6+F115*0.4)&gt;5.5, 5.2, (E115*0.6+F115*0.4)))</f>
        <v/>
      </c>
      <c r="H115" s="15" t="inlineStr">
        <is>
          <t>PIRATES</t>
        </is>
      </c>
      <c r="I115">
        <f>VLOOKUP(H115, 'MLB Data'!$B$5:$D$34, 3, FALSE)</f>
        <v/>
      </c>
      <c r="J115" s="16" t="inlineStr">
        <is>
          <t>MLODZINSKI</t>
        </is>
      </c>
      <c r="K115" s="17" t="n">
        <v>3.77</v>
      </c>
      <c r="L115" s="17">
        <f>VLOOKUP(H115, 'MLB Data'!$F$2:$H$34, 3, FALSE)</f>
        <v/>
      </c>
      <c r="M115" s="17">
        <f>IF((K115*0.6+L115*0.4)&lt;2.5, 2.8, IF((K115*0.6+L115*0.4)&gt;5.5, 5.2, (K115*0.6+L115*0.4)))</f>
        <v/>
      </c>
      <c r="O115" s="18">
        <f>(C115/100) * 4.45 * (M115 / 4.2) * T115</f>
        <v/>
      </c>
      <c r="P115" s="18">
        <f>(I115/100) * 4.45 * (G115 / 4.2) * T115</f>
        <v/>
      </c>
      <c r="Q115" s="18">
        <f>(O115+P115)</f>
        <v/>
      </c>
      <c r="S115" s="15">
        <f>H115</f>
        <v/>
      </c>
      <c r="T115" s="19">
        <f>IF(S115="ROCKIES",1.13,IF(S115="ATHLETICS",1.03,IF(S115="ROYALS",1.03,IF(S115="TWINS",1,IF(S115="TIGERS",1,IF(S115="MARLINS",1.01,IF(S115="REDS",1.05,IF(S115="RED SOX",1.04,IF(S115="YANKEES",1.02,IF(S115="DODGERS",0.99,IF(S115="PADRES",0.96,IF(S115="CUBS",0.98,IF(S115="GIANTS",0.97,IF(S115="MARINERS",0.94,IF(S115="RANGERS",1,IF(S115="ASTROS",0.99,IF(S115="BRAVES",1,IF(S115="METS",0.96,IF(S115="PHILLIES",1.02,IF(S115="BLUE JAYS",1.01,IF(S115="ORIOLES",0.99,IF(S115="RAYS",1.01,IF(S115="GUARDIANS",0.99,IF(S115="WHITE SOX",0.98,IF(S115="ANGELS",1.01,IF(S115="D-BACKS",1.01,IF(S115="BREWERS",0.99,IF(S115="CARDINALS",0.96,IF(S115="PIRATES",1.02,IF(S115="NATIONALS",1,1))))))))))))))))))))))))))))))*IF(W115="",1,(1+((W115-70)/10*0.035)))*IF(U115="DOME",1,IF(U115="IN",1-(V115*0.01),IF(U115="OUT",1+(V115*0.01),IF(OR(U115="L-R",U115="R-L"),1+(V115*0.005),1))))</f>
        <v/>
      </c>
      <c r="U115" s="15" t="inlineStr">
        <is>
          <t>L-R</t>
        </is>
      </c>
      <c r="V115" s="15" t="n"/>
      <c r="W115" s="15" t="n">
        <v>81</v>
      </c>
      <c r="Y115" s="21">
        <f>B115 &amp; " vs. " &amp; H115</f>
        <v/>
      </c>
      <c r="Z115" s="21">
        <f>TRIM(LEFT(Y115, FIND("vs.", Y115)-1))</f>
        <v/>
      </c>
      <c r="AA115" s="21">
        <f>TRIM(MID(Y115, FIND(" vs. ", Y115)+4, 100))</f>
        <v/>
      </c>
      <c r="AB115" s="21">
        <f>IF(Q115 &gt; VALUE(AC115), "O " &amp; AC115, IF(Q115 &lt; VALUE(AC115), "U " &amp; AC115, AC115))</f>
        <v/>
      </c>
      <c r="AC115" s="22">
        <f>IF(OR(O115="-", P115="-"), "-", MROUND(O115 + P115, 0.5))</f>
        <v/>
      </c>
      <c r="AD115" s="22">
        <f>VALUE(TRIM(RIGHT(AF115, LEN(AF115) - FIND(" ", AF115))))</f>
        <v/>
      </c>
      <c r="AE115" s="22">
        <f>LEFT(AF115,FIND(" ",AF115)-1)</f>
        <v/>
      </c>
      <c r="AF115" s="22">
        <f>IF(OR(O115="-", P115="-"), "-",
IF(MROUND(ABS(O115-P115),0.5)&lt;=0.5,
IF(O115&gt;P115, B115 &amp; " ML", H115 &amp; " ML"),
IF(MROUND(ABS(O115-P115),0.5)=1,
IF(O115&gt;P115, H115 &amp; " +1.5", B115 &amp; " +1.5"),
IF(O115&gt;P115, B115 &amp; " -1.5", H115 &amp; " -1.5")
)
)
)</f>
        <v/>
      </c>
      <c r="AG115" s="22">
        <f>_xlfn.LET(
_xlpm.winA, O115^1.83 / (O115^1.83 + P115^1.83),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16">
      <c r="A116" s="14" t="n">
        <v>46116</v>
      </c>
      <c r="B116" s="15" t="inlineStr">
        <is>
          <t>PADRES</t>
        </is>
      </c>
      <c r="C116">
        <f>VLOOKUP(B116, 'MLB Data'!$B$5:$D$34, 3, FALSE)</f>
        <v/>
      </c>
      <c r="D116" s="16" t="inlineStr">
        <is>
          <t>R. VAZQUEZ</t>
        </is>
      </c>
      <c r="E116" s="17" t="n">
        <v>5.01</v>
      </c>
      <c r="F116" s="17">
        <f>VLOOKUP(B116, 'MLB Data'!$F$2:$H$34, 3, FALSE)</f>
        <v/>
      </c>
      <c r="G116" s="17">
        <f>IF((E116*0.6+F116*0.4)&lt;2.5, 2.8, IF((E116*0.6+F116*0.4)&gt;5.5, 5.2, (E116*0.6+F116*0.4)))</f>
        <v/>
      </c>
      <c r="H116" s="15" t="inlineStr">
        <is>
          <t>RED SOX</t>
        </is>
      </c>
      <c r="I116">
        <f>VLOOKUP(H116, 'MLB Data'!$B$5:$D$34, 3, FALSE)</f>
        <v/>
      </c>
      <c r="J116" s="16" t="inlineStr">
        <is>
          <t>EARLY</t>
        </is>
      </c>
      <c r="K116" s="17" t="n">
        <v>3.53</v>
      </c>
      <c r="L116" s="17">
        <f>VLOOKUP(H116, 'MLB Data'!$F$2:$H$34, 3, FALSE)</f>
        <v/>
      </c>
      <c r="M116" s="17">
        <f>IF((K116*0.6+L116*0.4)&lt;2.5, 2.8, IF((K116*0.6+L116*0.4)&gt;5.5, 5.2, (K116*0.6+L116*0.4)))</f>
        <v/>
      </c>
      <c r="O116" s="18">
        <f>(C116/100) * 4.45 * (M116 / 4.2) * T116</f>
        <v/>
      </c>
      <c r="P116" s="18">
        <f>(I116/100) * 4.45 * (G116 / 4.2) * T116</f>
        <v/>
      </c>
      <c r="Q116" s="18">
        <f>(O116+P116)</f>
        <v/>
      </c>
      <c r="S116" s="15">
        <f>H116</f>
        <v/>
      </c>
      <c r="T116" s="19">
        <f>IF(S116="ROCKIES",1.13,IF(S116="ATHLETICS",1.03,IF(S116="ROYALS",1.03,IF(S116="TWINS",1,IF(S116="TIGERS",1,IF(S116="MARLINS",1.01,IF(S116="REDS",1.05,IF(S116="RED SOX",1.04,IF(S116="YANKEES",1.02,IF(S116="DODGERS",0.99,IF(S116="PADRES",0.96,IF(S116="CUBS",0.98,IF(S116="GIANTS",0.97,IF(S116="MARINERS",0.94,IF(S116="RANGERS",1,IF(S116="ASTROS",0.99,IF(S116="BRAVES",1,IF(S116="METS",0.96,IF(S116="PHILLIES",1.02,IF(S116="BLUE JAYS",1.01,IF(S116="ORIOLES",0.99,IF(S116="RAYS",1.01,IF(S116="GUARDIANS",0.99,IF(S116="WHITE SOX",0.98,IF(S116="ANGELS",1.01,IF(S116="D-BACKS",1.01,IF(S116="BREWERS",0.99,IF(S116="CARDINALS",0.96,IF(S116="PIRATES",1.02,IF(S116="NATIONALS",1,1))))))))))))))))))))))))))))))*IF(W116="",1,(1+((W116-70)/10*0.035)))*IF(U116="DOME",1,IF(U116="IN",1-(V116*0.01),IF(U116="OUT",1+(V116*0.01),IF(OR(U116="L-R",U116="R-L"),1+(V116*0.005),1))))</f>
        <v/>
      </c>
      <c r="U116" s="15" t="inlineStr">
        <is>
          <t>IN</t>
        </is>
      </c>
      <c r="V116" s="15" t="n"/>
      <c r="W116" s="15" t="n">
        <v>44</v>
      </c>
      <c r="Y116" s="21">
        <f>B116 &amp; " vs. " &amp; H116</f>
        <v/>
      </c>
      <c r="Z116" s="21">
        <f>TRIM(LEFT(Y116, FIND("vs.", Y116)-1))</f>
        <v/>
      </c>
      <c r="AA116" s="21">
        <f>TRIM(MID(Y116, FIND(" vs. ", Y116)+4, 100))</f>
        <v/>
      </c>
      <c r="AB116" s="21">
        <f>IF(Q116 &gt; VALUE(AC116), "O " &amp; AC116, IF(Q116 &lt; VALUE(AC116), "U " &amp; AC116, AC116))</f>
        <v/>
      </c>
      <c r="AC116" s="22">
        <f>IF(OR(O116="-", P116="-"), "-", MROUND(O116 + P116, 0.5))</f>
        <v/>
      </c>
      <c r="AD116" s="22">
        <f>VALUE(TRIM(RIGHT(AF116, LEN(AF116) - FIND(" ", AF116))))</f>
        <v/>
      </c>
      <c r="AE116" s="22">
        <f>LEFT(AF116,FIND(" ",AF116)-1)</f>
        <v/>
      </c>
      <c r="AF116" s="22">
        <f>IF(OR(O116="-", P116="-"), "-",
IF(MROUND(ABS(O116-P116),0.5)&lt;=0.5,
IF(O116&gt;P116, B116 &amp; " ML", H116 &amp; " ML"),
IF(MROUND(ABS(O116-P116),0.5)=1,
IF(O116&gt;P116, H116 &amp; " +1.5", B116 &amp; " +1.5"),
IF(O116&gt;P116, B116 &amp; " -1.5", H116 &amp; " -1.5")
)
)
)</f>
        <v/>
      </c>
      <c r="AG116" s="22">
        <f>_xlfn.LET(
_xlpm.winA, O116^1.83 / (O116^1.83 + P116^1.83),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17">
      <c r="A117" s="14" t="n">
        <v>46116</v>
      </c>
      <c r="B117" s="15" t="inlineStr">
        <is>
          <t>REDS</t>
        </is>
      </c>
      <c r="C117">
        <f>VLOOKUP(B117, 'MLB Data'!$B$5:$D$34, 3, FALSE)</f>
        <v/>
      </c>
      <c r="D117" s="16" t="inlineStr">
        <is>
          <t>LOWDER</t>
        </is>
      </c>
      <c r="E117" s="17" t="n">
        <v>4.47</v>
      </c>
      <c r="F117" s="17">
        <f>VLOOKUP(B117, 'MLB Data'!$F$2:$H$34, 3, FALSE)</f>
        <v/>
      </c>
      <c r="G117" s="17">
        <f>IF((E117*0.6+F117*0.4)&lt;2.5, 2.8, IF((E117*0.6+F117*0.4)&gt;5.5, 5.2, (E117*0.6+F117*0.4)))</f>
        <v/>
      </c>
      <c r="H117" s="15" t="inlineStr">
        <is>
          <t>RANGERS</t>
        </is>
      </c>
      <c r="I117">
        <f>VLOOKUP(H117, 'MLB Data'!$B$5:$D$34, 3, FALSE)</f>
        <v/>
      </c>
      <c r="J117" s="16" t="inlineStr">
        <is>
          <t>ROCKER</t>
        </is>
      </c>
      <c r="K117" s="17" t="n">
        <v>4.25</v>
      </c>
      <c r="L117" s="17">
        <f>VLOOKUP(H117, 'MLB Data'!$F$2:$H$34, 3, FALSE)</f>
        <v/>
      </c>
      <c r="M117" s="17">
        <f>IF((K117*0.6+L117*0.4)&lt;2.5, 2.8, IF((K117*0.6+L117*0.4)&gt;5.5, 5.2, (K117*0.6+L117*0.4)))</f>
        <v/>
      </c>
      <c r="O117" s="18">
        <f>(C117/100) * 4.45 * (M117 / 4.2) * T117</f>
        <v/>
      </c>
      <c r="P117" s="18">
        <f>(I117/100) * 4.45 * (G117 / 4.2) * T117</f>
        <v/>
      </c>
      <c r="Q117" s="18">
        <f>(O117+P117)</f>
        <v/>
      </c>
      <c r="S117" s="15">
        <f>H117</f>
        <v/>
      </c>
      <c r="T117" s="19">
        <f>IF(S117="ROCKIES",1.13,IF(S117="ATHLETICS",1.03,IF(S117="ROYALS",1.03,IF(S117="TWINS",1,IF(S117="TIGERS",1,IF(S117="MARLINS",1.01,IF(S117="REDS",1.05,IF(S117="RED SOX",1.04,IF(S117="YANKEES",1.02,IF(S117="DODGERS",0.99,IF(S117="PADRES",0.96,IF(S117="CUBS",0.98,IF(S117="GIANTS",0.97,IF(S117="MARINERS",0.94,IF(S117="RANGERS",1,IF(S117="ASTROS",0.99,IF(S117="BRAVES",1,IF(S117="METS",0.96,IF(S117="PHILLIES",1.02,IF(S117="BLUE JAYS",1.01,IF(S117="ORIOLES",0.99,IF(S117="RAYS",1.01,IF(S117="GUARDIANS",0.99,IF(S117="WHITE SOX",0.98,IF(S117="ANGELS",1.01,IF(S117="D-BACKS",1.01,IF(S117="BREWERS",0.99,IF(S117="CARDINALS",0.96,IF(S117="PIRATES",1.02,IF(S117="NATIONALS",1,1))))))))))))))))))))))))))))))*IF(W117="",1,(1+((W117-70)/10*0.035)))*IF(U117="DOME",1,IF(U117="IN",1-(V117*0.01),IF(U117="OUT",1+(V117*0.01),IF(OR(U117="L-R",U117="R-L"),1+(V117*0.005),1))))</f>
        <v/>
      </c>
      <c r="U117" s="15" t="inlineStr">
        <is>
          <t>dome</t>
        </is>
      </c>
      <c r="V117" s="15" t="n"/>
      <c r="W117" s="15" t="n">
        <v>64</v>
      </c>
      <c r="Y117" s="23">
        <f>B117 &amp; " vs. " &amp; H117</f>
        <v/>
      </c>
      <c r="Z117" s="23">
        <f>TRIM(LEFT(Y117, FIND("vs.", Y117)-1))</f>
        <v/>
      </c>
      <c r="AA117" s="23">
        <f>TRIM(MID(Y117, FIND(" vs. ", Y117)+4, 100))</f>
        <v/>
      </c>
      <c r="AB117" s="23">
        <f>IF(Q117 &gt; VALUE(AC117), "O " &amp; AC117, IF(Q117 &lt; VALUE(AC117), "U " &amp; AC117, AC117))</f>
        <v/>
      </c>
      <c r="AC117" s="24">
        <f>IF(OR(O117="-", P117="-"), "-", MROUND(O117 + P117, 0.5))</f>
        <v/>
      </c>
      <c r="AD117" s="24">
        <f>VALUE(TRIM(RIGHT(AF117, LEN(AF117) - FIND(" ", AF117))))</f>
        <v/>
      </c>
      <c r="AE117" s="24">
        <f>LEFT(AF117,FIND(" ",AF117)-1)</f>
        <v/>
      </c>
      <c r="AF117" s="24">
        <f>IF(OR(O117="-", P117="-"), "-",
IF(MROUND(ABS(O117-P117),0.5)&lt;=0.5,
IF(O117&gt;P117, B117 &amp; " ML", H117 &amp; " ML"),
IF(MROUND(ABS(O117-P117),0.5)=1,
IF(O117&gt;P117, H117 &amp; " +1.5", B117 &amp; " +1.5"),
IF(O117&gt;P117, B117 &amp; " -1.5", H117 &amp; " -1.5")
)
)
)</f>
        <v/>
      </c>
      <c r="AG117" s="24">
        <f>_xlfn.LET(
_xlpm.winA, O117^1.83 / (O117^1.83 + P117^1.83),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18">
      <c r="A118" s="14" t="n">
        <v>46116</v>
      </c>
      <c r="B118" s="15" t="inlineStr">
        <is>
          <t>MARLINS</t>
        </is>
      </c>
      <c r="C118">
        <f>VLOOKUP(B118, 'MLB Data'!$B$5:$D$34, 3, FALSE)</f>
        <v/>
      </c>
      <c r="D118" s="16" t="inlineStr">
        <is>
          <t>MEYER</t>
        </is>
      </c>
      <c r="E118" s="17" t="n">
        <v>4.05</v>
      </c>
      <c r="F118" s="17">
        <f>VLOOKUP(B118, 'MLB Data'!$F$2:$H$34, 3, FALSE)</f>
        <v/>
      </c>
      <c r="G118" s="17">
        <f>IF((E118*0.6+F118*0.4)&lt;2.5, 2.8, IF((E118*0.6+F118*0.4)&gt;5.5, 5.2, (E118*0.6+F118*0.4)))</f>
        <v/>
      </c>
      <c r="H118" s="15" t="inlineStr">
        <is>
          <t>YANKEES</t>
        </is>
      </c>
      <c r="I118">
        <f>VLOOKUP(H118, 'MLB Data'!$B$5:$D$34, 3, FALSE)</f>
        <v/>
      </c>
      <c r="J118" s="16" t="inlineStr">
        <is>
          <t>WEATHERS</t>
        </is>
      </c>
      <c r="K118" s="17" t="n">
        <v>4.02</v>
      </c>
      <c r="L118" s="17">
        <f>VLOOKUP(H118, 'MLB Data'!$F$2:$H$34, 3, FALSE)</f>
        <v/>
      </c>
      <c r="M118" s="17">
        <f>IF((K118*0.6+L118*0.4)&lt;2.5, 2.8, IF((K118*0.6+L118*0.4)&gt;5.5, 5.2, (K118*0.6+L118*0.4)))</f>
        <v/>
      </c>
      <c r="O118" s="18">
        <f>(C118/100) * 4.45 * (M118 / 4.2) * T118</f>
        <v/>
      </c>
      <c r="P118" s="18">
        <f>(I118/100) * 4.45 * (G118 / 4.2) * T118</f>
        <v/>
      </c>
      <c r="Q118" s="18">
        <f>(O118+P118)</f>
        <v/>
      </c>
      <c r="S118" s="15">
        <f>H118</f>
        <v/>
      </c>
      <c r="T118" s="19">
        <f>IF(S118="ROCKIES",1.13,IF(S118="ATHLETICS",1.03,IF(S118="ROYALS",1.03,IF(S118="TWINS",1,IF(S118="TIGERS",1,IF(S118="MARLINS",1.01,IF(S118="REDS",1.05,IF(S118="RED SOX",1.04,IF(S118="YANKEES",1.02,IF(S118="DODGERS",0.99,IF(S118="PADRES",0.96,IF(S118="CUBS",0.98,IF(S118="GIANTS",0.97,IF(S118="MARINERS",0.94,IF(S118="RANGERS",1,IF(S118="ASTROS",0.99,IF(S118="BRAVES",1,IF(S118="METS",0.96,IF(S118="PHILLIES",1.02,IF(S118="BLUE JAYS",1.01,IF(S118="ORIOLES",0.99,IF(S118="RAYS",1.01,IF(S118="GUARDIANS",0.99,IF(S118="WHITE SOX",0.98,IF(S118="ANGELS",1.01,IF(S118="D-BACKS",1.01,IF(S118="BREWERS",0.99,IF(S118="CARDINALS",0.96,IF(S118="PIRATES",1.02,IF(S118="NATIONALS",1,1))))))))))))))))))))))))))))))*IF(W118="",1,(1+((W118-70)/10*0.035)))*IF(U118="DOME",1,IF(U118="IN",1-(V118*0.01),IF(U118="OUT",1+(V118*0.01),IF(OR(U118="L-R",U118="R-L"),1+(V118*0.005),1))))</f>
        <v/>
      </c>
      <c r="U118" s="15" t="inlineStr">
        <is>
          <t>IN</t>
        </is>
      </c>
      <c r="V118" s="15" t="n"/>
      <c r="W118" s="15" t="n">
        <v>52</v>
      </c>
      <c r="Y118" s="25">
        <f>B118 &amp; " vs. " &amp; H118</f>
        <v/>
      </c>
      <c r="Z118" s="25">
        <f>TRIM(LEFT(Y118, FIND("vs.", Y118)-1))</f>
        <v/>
      </c>
      <c r="AA118" s="25">
        <f>TRIM(MID(Y118, FIND(" vs. ", Y118)+4, 100))</f>
        <v/>
      </c>
      <c r="AB118" s="25">
        <f>IF(Q118 &gt; VALUE(AC118), "O " &amp; AC118, IF(Q118 &lt; VALUE(AC118), "U " &amp; AC118, AC118))</f>
        <v/>
      </c>
      <c r="AC118" s="26">
        <f>IF(OR(O118="-", P118="-"), "-", MROUND(O118 + P118, 0.5))</f>
        <v/>
      </c>
      <c r="AD118" s="26">
        <f>VALUE(TRIM(RIGHT(AF118, LEN(AF118) - FIND(" ", AF118))))</f>
        <v/>
      </c>
      <c r="AE118" s="26">
        <f>LEFT(AF118,FIND(" ",AF118)-1)</f>
        <v/>
      </c>
      <c r="AF118" s="26">
        <f>IF(OR(O118="-", P118="-"), "-",
IF(MROUND(ABS(O118-P118),0.5)&lt;=0.5,
IF(O118&gt;P118, B118 &amp; " ML", H118 &amp; " ML"),
IF(MROUND(ABS(O118-P118),0.5)=1,
IF(O118&gt;P118, H118 &amp; " +1.5", B118 &amp; " +1.5"),
IF(O118&gt;P118, B118 &amp; " -1.5", H118 &amp; " -1.5")
)
)
)</f>
        <v/>
      </c>
      <c r="AG118" s="26">
        <f>_xlfn.LET(
_xlpm.winA, O118^1.83 / (O118^1.83 + P118^1.83),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19">
      <c r="A119" s="14" t="n">
        <v>46116</v>
      </c>
      <c r="B119" s="15" t="inlineStr">
        <is>
          <t>RAYS</t>
        </is>
      </c>
      <c r="C119">
        <f>VLOOKUP(B119, 'MLB Data'!$B$5:$D$34, 3, FALSE)</f>
        <v/>
      </c>
      <c r="D119" s="16" t="inlineStr">
        <is>
          <t>MATZ</t>
        </is>
      </c>
      <c r="E119" s="17" t="n">
        <v>4.62</v>
      </c>
      <c r="F119" s="17">
        <f>VLOOKUP(B119, 'MLB Data'!$F$2:$H$34, 3, FALSE)</f>
        <v/>
      </c>
      <c r="G119" s="17">
        <f>IF((E119*0.6+F119*0.4)&lt;2.5, 2.8, IF((E119*0.6+F119*0.4)&gt;5.5, 5.2, (E119*0.6+F119*0.4)))</f>
        <v/>
      </c>
      <c r="H119" s="15" t="inlineStr">
        <is>
          <t>TWINS</t>
        </is>
      </c>
      <c r="I119">
        <f>VLOOKUP(H119, 'MLB Data'!$B$5:$D$34, 3, FALSE)</f>
        <v/>
      </c>
      <c r="J119" s="16" t="inlineStr">
        <is>
          <t>ABEL</t>
        </is>
      </c>
      <c r="K119" s="17" t="n">
        <v>4.37</v>
      </c>
      <c r="L119" s="17">
        <f>VLOOKUP(H119, 'MLB Data'!$F$2:$H$34, 3, FALSE)</f>
        <v/>
      </c>
      <c r="M119" s="17">
        <f>IF((K119*0.6+L119*0.4)&lt;2.5, 2.8, IF((K119*0.6+L119*0.4)&gt;5.5, 5.2, (K119*0.6+L119*0.4)))</f>
        <v/>
      </c>
      <c r="O119" s="18">
        <f>(C119/100) * 4.45 * (M119 / 4.2) * T119</f>
        <v/>
      </c>
      <c r="P119" s="18">
        <f>(I119/100) * 4.45 * (G119 / 4.2) * T119</f>
        <v/>
      </c>
      <c r="Q119" s="18">
        <f>(O119+P119)</f>
        <v/>
      </c>
      <c r="S119" s="15">
        <f>H119</f>
        <v/>
      </c>
      <c r="T119" s="19">
        <f>IF(S119="ROCKIES",1.13,IF(S119="ATHLETICS",1.03,IF(S119="ROYALS",1.03,IF(S119="TWINS",1,IF(S119="TIGERS",1,IF(S119="MARLINS",1.01,IF(S119="REDS",1.05,IF(S119="RED SOX",1.04,IF(S119="YANKEES",1.02,IF(S119="DODGERS",0.99,IF(S119="PADRES",0.96,IF(S119="CUBS",0.98,IF(S119="GIANTS",0.97,IF(S119="MARINERS",0.94,IF(S119="RANGERS",1,IF(S119="ASTROS",0.99,IF(S119="BRAVES",1,IF(S119="METS",0.96,IF(S119="PHILLIES",1.02,IF(S119="BLUE JAYS",1.01,IF(S119="ORIOLES",0.99,IF(S119="RAYS",1.01,IF(S119="GUARDIANS",0.99,IF(S119="WHITE SOX",0.98,IF(S119="ANGELS",1.01,IF(S119="D-BACKS",1.01,IF(S119="BREWERS",0.99,IF(S119="CARDINALS",0.96,IF(S119="PIRATES",1.02,IF(S119="NATIONALS",1,1))))))))))))))))))))))))))))))*IF(W119="",1,(1+((W119-70)/10*0.035)))*IF(U119="DOME",1,IF(U119="IN",1-(V119*0.01),IF(U119="OUT",1+(V119*0.01),IF(OR(U119="L-R",U119="R-L"),1+(V119*0.005),1))))</f>
        <v/>
      </c>
      <c r="U119" s="15" t="inlineStr">
        <is>
          <t>OUT</t>
        </is>
      </c>
      <c r="V119" s="15" t="n"/>
      <c r="W119" s="15" t="n">
        <v>36</v>
      </c>
      <c r="Y119" s="23">
        <f>B119 &amp; " vs. " &amp; H119</f>
        <v/>
      </c>
      <c r="Z119" s="23">
        <f>TRIM(LEFT(Y119, FIND("vs.", Y119)-1))</f>
        <v/>
      </c>
      <c r="AA119" s="23">
        <f>TRIM(MID(Y119, FIND(" vs. ", Y119)+4, 100))</f>
        <v/>
      </c>
      <c r="AB119" s="23">
        <f>IF(Q119 &gt; VALUE(AC119), "O " &amp; AC119, IF(Q119 &lt; VALUE(AC119), "U " &amp; AC119, AC119))</f>
        <v/>
      </c>
      <c r="AC119" s="24">
        <f>IF(OR(O119="-", P119="-"), "-", MROUND(O119 + P119, 0.5))</f>
        <v/>
      </c>
      <c r="AD119" s="24">
        <f>VALUE(TRIM(RIGHT(AF119, LEN(AF119) - FIND(" ", AF119))))</f>
        <v/>
      </c>
      <c r="AE119" s="24">
        <f>LEFT(AF119,FIND(" ",AF119)-1)</f>
        <v/>
      </c>
      <c r="AF119" s="24">
        <f>IF(OR(O119="-", P119="-"), "-",
IF(MROUND(ABS(O119-P119),0.5)&lt;=0.5,
IF(O119&gt;P119, B119 &amp; " ML", H119 &amp; " ML"),
IF(MROUND(ABS(O119-P119),0.5)=1,
IF(O119&gt;P119, H119 &amp; " +1.5", B119 &amp; " +1.5"),
IF(O119&gt;P119, B119 &amp; " -1.5", H119 &amp; " -1.5")
)
)
)</f>
        <v/>
      </c>
      <c r="AG119" s="24">
        <f>_xlfn.LET(
_xlpm.winA, O119^1.83 / (O119^1.83 + P119^1.83),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20">
      <c r="A120" s="14" t="n">
        <v>46116</v>
      </c>
      <c r="B120" s="15" t="inlineStr">
        <is>
          <t>CUBS</t>
        </is>
      </c>
      <c r="C120">
        <f>VLOOKUP(B120, 'MLB Data'!$B$5:$D$34, 3, FALSE)</f>
        <v/>
      </c>
      <c r="D120" s="16" t="inlineStr">
        <is>
          <t>IMANAGA</t>
        </is>
      </c>
      <c r="E120" s="17" t="n">
        <v>4.6</v>
      </c>
      <c r="F120" s="17">
        <f>VLOOKUP(B120, 'MLB Data'!$F$2:$H$34, 3, FALSE)</f>
        <v/>
      </c>
      <c r="G120" s="17">
        <f>IF((E120*0.6+F120*0.4)&lt;2.5, 2.8, IF((E120*0.6+F120*0.4)&gt;5.5, 5.2, (E120*0.6+F120*0.4)))</f>
        <v/>
      </c>
      <c r="H120" s="15" t="inlineStr">
        <is>
          <t>GUARDIANS</t>
        </is>
      </c>
      <c r="I120">
        <f>VLOOKUP(H120, 'MLB Data'!$B$5:$D$34, 3, FALSE)</f>
        <v/>
      </c>
      <c r="J120" s="16" t="inlineStr">
        <is>
          <t>CECCONI</t>
        </is>
      </c>
      <c r="K120" s="17" t="n">
        <v>4.68</v>
      </c>
      <c r="L120" s="17">
        <f>VLOOKUP(H120, 'MLB Data'!$F$2:$H$34, 3, FALSE)</f>
        <v/>
      </c>
      <c r="M120" s="17">
        <f>IF((K120*0.6+L120*0.4)&lt;2.5, 2.8, IF((K120*0.6+L120*0.4)&gt;5.5, 5.2, (K120*0.6+L120*0.4)))</f>
        <v/>
      </c>
      <c r="O120" s="18">
        <f>(C120/100) * 4.45 * (M120 / 4.2) * T120</f>
        <v/>
      </c>
      <c r="P120" s="18">
        <f>(I120/100) * 4.45 * (G120 / 4.2) * T120</f>
        <v/>
      </c>
      <c r="Q120" s="18">
        <f>(O120+P120)</f>
        <v/>
      </c>
      <c r="S120" s="15">
        <f>H120</f>
        <v/>
      </c>
      <c r="T120" s="19">
        <f>IF(S120="ROCKIES",1.13,IF(S120="ATHLETICS",1.03,IF(S120="ROYALS",1.03,IF(S120="TWINS",1,IF(S120="TIGERS",1,IF(S120="MARLINS",1.01,IF(S120="REDS",1.05,IF(S120="RED SOX",1.04,IF(S120="YANKEES",1.02,IF(S120="DODGERS",0.99,IF(S120="PADRES",0.96,IF(S120="CUBS",0.98,IF(S120="GIANTS",0.97,IF(S120="MARINERS",0.94,IF(S120="RANGERS",1,IF(S120="ASTROS",0.99,IF(S120="BRAVES",1,IF(S120="METS",0.96,IF(S120="PHILLIES",1.02,IF(S120="BLUE JAYS",1.01,IF(S120="ORIOLES",0.99,IF(S120="RAYS",1.01,IF(S120="GUARDIANS",0.99,IF(S120="WHITE SOX",0.98,IF(S120="ANGELS",1.01,IF(S120="D-BACKS",1.01,IF(S120="BREWERS",0.99,IF(S120="CARDINALS",0.96,IF(S120="PIRATES",1.02,IF(S120="NATIONALS",1,1))))))))))))))))))))))))))))))*IF(W120="",1,(1+((W120-70)/10*0.035)))*IF(U120="DOME",1,IF(U120="IN",1-(V120*0.01),IF(U120="OUT",1+(V120*0.01),IF(OR(U120="L-R",U120="R-L"),1+(V120*0.005),1))))</f>
        <v/>
      </c>
      <c r="U120" s="15" t="inlineStr">
        <is>
          <t>L-R</t>
        </is>
      </c>
      <c r="V120" s="15" t="n"/>
      <c r="W120" s="15" t="n">
        <v>68</v>
      </c>
      <c r="Y120" s="27">
        <f>B120 &amp; " vs. " &amp; H120</f>
        <v/>
      </c>
      <c r="Z120" s="27">
        <f>TRIM(LEFT(Y120, FIND("vs.", Y120)-1))</f>
        <v/>
      </c>
      <c r="AA120" s="27">
        <f>TRIM(MID(Y120, FIND(" vs. ", Y120)+4, 100))</f>
        <v/>
      </c>
      <c r="AB120" s="27">
        <f>IF(Q120 &gt; VALUE(AC120), "O " &amp; AC120, IF(Q120 &lt; VALUE(AC120), "U " &amp; AC120, AC120))</f>
        <v/>
      </c>
      <c r="AC120" s="28" t="n"/>
      <c r="AD120" s="28">
        <f>VALUE(TRIM(RIGHT(AF120, LEN(AF120) - FIND(" ", AF120))))</f>
        <v/>
      </c>
      <c r="AE120" s="28">
        <f>LEFT(AF120,FIND(" ",AF120)-1)</f>
        <v/>
      </c>
      <c r="AF120" s="28">
        <f>IF(OR(O120="-", P120="-"), "-",
IF(MROUND(ABS(O120-P120),0.5)&lt;=0.5,
IF(O120&gt;P120, B120 &amp; " ML", H120 &amp; " ML"),
IF(MROUND(ABS(O120-P120),0.5)=1,
IF(O120&gt;P120, H120 &amp; " +1.5", B120 &amp; " +1.5"),
IF(O120&gt;P120, B120 &amp; " -1.5", H120 &amp; " -1.5")
)
)
)</f>
        <v/>
      </c>
      <c r="AG120" s="28">
        <f>_xlfn.LET(
_xlpm.winA, O120^1.83 / (O120^1.83 + P120^1.83),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21">
      <c r="A121" s="14" t="n">
        <v>46116</v>
      </c>
      <c r="B121" s="15" t="inlineStr">
        <is>
          <t>BRAVES</t>
        </is>
      </c>
      <c r="C121">
        <f>VLOOKUP(B121, 'MLB Data'!$B$5:$D$34, 3, FALSE)</f>
        <v/>
      </c>
      <c r="D121" s="16" t="inlineStr">
        <is>
          <t>ELDER</t>
        </is>
      </c>
      <c r="E121" s="17" t="n">
        <v>4.28</v>
      </c>
      <c r="F121" s="17">
        <f>VLOOKUP(B121, 'MLB Data'!$F$2:$H$34, 3, FALSE)</f>
        <v/>
      </c>
      <c r="G121" s="17">
        <f>IF((E121*0.6+F121*0.4)&lt;2.5, 2.8, IF((E121*0.6+F121*0.4)&gt;5.5, 5.2, (E121*0.6+F121*0.4)))</f>
        <v/>
      </c>
      <c r="H121" s="15" t="inlineStr">
        <is>
          <t>D-BACKS</t>
        </is>
      </c>
      <c r="I121">
        <f>VLOOKUP(H121, 'MLB Data'!$B$5:$D$34, 3, FALSE)</f>
        <v/>
      </c>
      <c r="J121" s="16" t="inlineStr">
        <is>
          <t>SOROKA</t>
        </is>
      </c>
      <c r="K121" s="17" t="n">
        <v>4.13</v>
      </c>
      <c r="L121" s="17">
        <f>VLOOKUP(H121, 'MLB Data'!$F$2:$H$34, 3, FALSE)</f>
        <v/>
      </c>
      <c r="M121" s="17">
        <f>IF((K121*0.6+L121*0.4)&lt;2.5, 2.8, IF((K121*0.6+L121*0.4)&gt;5.5, 5.2, (K121*0.6+L121*0.4)))</f>
        <v/>
      </c>
      <c r="O121" s="18">
        <f>(C121/100) * 4.45 * (M121 / 4.2) * T121</f>
        <v/>
      </c>
      <c r="P121" s="18">
        <f>(I121/100) * 4.45 * (G121 / 4.2) * T121</f>
        <v/>
      </c>
      <c r="Q121" s="18">
        <f>(O121+P121)</f>
        <v/>
      </c>
      <c r="S121" s="15">
        <f>H121</f>
        <v/>
      </c>
      <c r="T121" s="19">
        <f>IF(S121="ROCKIES",1.13,IF(S121="ATHLETICS",1.03,IF(S121="ROYALS",1.03,IF(S121="TWINS",1,IF(S121="TIGERS",1,IF(S121="MARLINS",1.01,IF(S121="REDS",1.05,IF(S121="RED SOX",1.04,IF(S121="YANKEES",1.02,IF(S121="DODGERS",0.99,IF(S121="PADRES",0.96,IF(S121="CUBS",0.98,IF(S121="GIANTS",0.97,IF(S121="MARINERS",0.94,IF(S121="RANGERS",1,IF(S121="ASTROS",0.99,IF(S121="BRAVES",1,IF(S121="METS",0.96,IF(S121="PHILLIES",1.02,IF(S121="BLUE JAYS",1.01,IF(S121="ORIOLES",0.99,IF(S121="RAYS",1.01,IF(S121="GUARDIANS",0.99,IF(S121="WHITE SOX",0.98,IF(S121="ANGELS",1.01,IF(S121="D-BACKS",1.01,IF(S121="BREWERS",0.99,IF(S121="CARDINALS",0.96,IF(S121="PIRATES",1.02,IF(S121="NATIONALS",1,1))))))))))))))))))))))))))))))*IF(W121="",1,(1+((W121-70)/10*0.035)))*IF(U121="DOME",1,IF(U121="IN",1-(V121*0.01),IF(U121="OUT",1+(V121*0.01),IF(OR(U121="L-R",U121="R-L"),1+(V121*0.005),1))))</f>
        <v/>
      </c>
      <c r="U121" s="15" t="inlineStr">
        <is>
          <t>DOME</t>
        </is>
      </c>
      <c r="V121" s="15" t="n"/>
      <c r="W121" s="15" t="n">
        <v>89</v>
      </c>
      <c r="Y121">
        <f>B121 &amp; " vs. " &amp; H121</f>
        <v/>
      </c>
      <c r="Z121">
        <f>TRIM(LEFT(Y121, FIND("vs.", Y121)-1))</f>
        <v/>
      </c>
      <c r="AA121">
        <f>TRIM(MID(Y121, FIND(" vs. ", Y121)+4, 100))</f>
        <v/>
      </c>
      <c r="AB121">
        <f>IF(Q121 &gt; VALUE(AC121), "O " &amp; AC121, IF(Q121 &lt; VALUE(AC121), "U " &amp; AC121, AC121))</f>
        <v/>
      </c>
      <c r="AC121" s="15">
        <f>IF(OR(O121="-", P121="-"), "-", MROUND(O121 + P121, 0.5))</f>
        <v/>
      </c>
      <c r="AD121" s="15">
        <f>VALUE(TRIM(RIGHT(AF121, LEN(AF121) - FIND(" ", AF121))))</f>
        <v/>
      </c>
      <c r="AE121" s="15">
        <f>LEFT(AF121,FIND(" ",AF121)-1)</f>
        <v/>
      </c>
      <c r="AF121" s="15">
        <f>IF(OR(O121="-", P121="-"), "-",
IF(MROUND(ABS(O121-P121),0.5)&lt;=0.5,
IF(O121&gt;P121, B121 &amp; " ML", H121 &amp; " ML"),
IF(MROUND(ABS(O121-P121),0.5)=1,
IF(O121&gt;P121, H121 &amp; " +1.5", B121 &amp; " +1.5"),
IF(O121&gt;P121, B121 &amp; " -1.5", H121 &amp; " -1.5")
)
)
)</f>
        <v/>
      </c>
      <c r="AG121" s="15">
        <f>_xlfn.LET(
_xlpm.winA, O121^1.83 / (O121^1.83 + P121^1.83),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22">
      <c r="A122" s="14" t="n">
        <v>46116</v>
      </c>
      <c r="B122" s="15" t="inlineStr">
        <is>
          <t>PHILLIES</t>
        </is>
      </c>
      <c r="C122">
        <f>VLOOKUP(B122, 'MLB Data'!$B$5:$D$34, 3, FALSE)</f>
        <v/>
      </c>
      <c r="D122" s="16" t="inlineStr">
        <is>
          <t>LUZARDO</t>
        </is>
      </c>
      <c r="E122" s="17" t="n">
        <v>3.46</v>
      </c>
      <c r="F122" s="17">
        <f>VLOOKUP(B122, 'MLB Data'!$F$2:$H$34, 3, FALSE)</f>
        <v/>
      </c>
      <c r="G122" s="17">
        <f>IF((E122*0.6+F122*0.4)&lt;2.5, 2.8, IF((E122*0.6+F122*0.4)&gt;5.5, 5.2, (E122*0.6+F122*0.4)))</f>
        <v/>
      </c>
      <c r="H122" s="15" t="inlineStr">
        <is>
          <t>ROCKIES</t>
        </is>
      </c>
      <c r="I122">
        <f>VLOOKUP(H122, 'MLB Data'!$B$5:$D$34, 3, FALSE)</f>
        <v/>
      </c>
      <c r="J122" s="16" t="inlineStr">
        <is>
          <t>BERNARDINO</t>
        </is>
      </c>
      <c r="K122" s="17" t="n"/>
      <c r="L122" s="17">
        <f>VLOOKUP(H122, 'MLB Data'!$F$2:$H$34, 3, FALSE)</f>
        <v/>
      </c>
      <c r="M122" s="17">
        <f>IF((K122*0.6+L122*0.4)&lt;2.5, 2.8, IF((K122*0.6+L122*0.4)&gt;5.5, 5.2, (K122*0.6+L122*0.4)))</f>
        <v/>
      </c>
      <c r="O122" s="18">
        <f>(C122/100) * 4.45 * (M122 / 4.2) * T122</f>
        <v/>
      </c>
      <c r="P122" s="18">
        <f>(I122/100) * 4.45 * (G122 / 4.2) * T122</f>
        <v/>
      </c>
      <c r="Q122" s="18">
        <f>(O122+P122)</f>
        <v/>
      </c>
      <c r="S122" s="15">
        <f>H122</f>
        <v/>
      </c>
      <c r="T122" s="19">
        <f>IF(S122="ROCKIES",1.13,IF(S122="ATHLETICS",1.03,IF(S122="ROYALS",1.03,IF(S122="TWINS",1,IF(S122="TIGERS",1,IF(S122="MARLINS",1.01,IF(S122="REDS",1.05,IF(S122="RED SOX",1.04,IF(S122="YANKEES",1.02,IF(S122="DODGERS",0.99,IF(S122="PADRES",0.96,IF(S122="CUBS",0.98,IF(S122="GIANTS",0.97,IF(S122="MARINERS",0.94,IF(S122="RANGERS",1,IF(S122="ASTROS",0.99,IF(S122="BRAVES",1,IF(S122="METS",0.96,IF(S122="PHILLIES",1.02,IF(S122="BLUE JAYS",1.01,IF(S122="ORIOLES",0.99,IF(S122="RAYS",1.01,IF(S122="GUARDIANS",0.99,IF(S122="WHITE SOX",0.98,IF(S122="ANGELS",1.01,IF(S122="D-BACKS",1.01,IF(S122="BREWERS",0.99,IF(S122="CARDINALS",0.96,IF(S122="PIRATES",1.02,IF(S122="NATIONALS",1,1))))))))))))))))))))))))))))))*IF(W122="",1,(1+((W122-70)/10*0.035)))*IF(U122="DOME",1,IF(U122="IN",1-(V122*0.01),IF(U122="OUT",1+(V122*0.01),IF(OR(U122="L-R",U122="R-L"),1+(V122*0.005),1))))</f>
        <v/>
      </c>
      <c r="U122" s="15" t="inlineStr">
        <is>
          <t>IN</t>
        </is>
      </c>
      <c r="V122" s="15" t="n"/>
      <c r="W122" s="15" t="n">
        <v>59</v>
      </c>
      <c r="Y122">
        <f>B122 &amp; " vs. " &amp; H122</f>
        <v/>
      </c>
      <c r="Z122">
        <f>TRIM(LEFT(Y122, FIND("vs.", Y122)-1))</f>
        <v/>
      </c>
      <c r="AA122">
        <f>TRIM(MID(Y122, FIND(" vs. ", Y122)+4, 100))</f>
        <v/>
      </c>
      <c r="AB122">
        <f>IF(Q122 &gt; VALUE(AC122), "O " &amp; AC122, IF(Q122 &lt; VALUE(AC122), "U " &amp; AC122, AC122))</f>
        <v/>
      </c>
      <c r="AC122" s="15">
        <f>IF(OR(O122="-", P122="-"), "-", MROUND(O122 + P122, 0.5))</f>
        <v/>
      </c>
      <c r="AD122" s="15">
        <f>VALUE(TRIM(RIGHT(AF122, LEN(AF122) - FIND(" ", AF122))))</f>
        <v/>
      </c>
      <c r="AE122" s="15">
        <f>LEFT(AF122,FIND(" ",AF122)-1)</f>
        <v/>
      </c>
      <c r="AF122" s="15">
        <f>IF(OR(O122="-", P122="-"), "-",
IF(MROUND(ABS(O122-P122),0.5)&lt;=0.5,
IF(O122&gt;P122, B122 &amp; " ML", H122 &amp; " ML"),
IF(MROUND(ABS(O122-P122),0.5)=1,
IF(O122&gt;P122, H122 &amp; " +1.5", B122 &amp; " +1.5"),
IF(O122&gt;P122, B122 &amp; " -1.5", H122 &amp; " -1.5")
)
)
)</f>
        <v/>
      </c>
      <c r="AG122" s="15">
        <f>_xlfn.LET(
_xlpm.winA, O122^1.83 / (O122^1.83 + P122^1.83),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23">
      <c r="A123" s="14" t="n">
        <v>46116</v>
      </c>
      <c r="B123" s="15" t="inlineStr">
        <is>
          <t>METS</t>
        </is>
      </c>
      <c r="C123">
        <f>VLOOKUP(B123, 'MLB Data'!$B$5:$D$34, 3, FALSE)</f>
        <v/>
      </c>
      <c r="D123" s="16" t="inlineStr">
        <is>
          <t>C. HOLMES</t>
        </is>
      </c>
      <c r="E123" s="17" t="n">
        <v>4.12</v>
      </c>
      <c r="F123" s="17">
        <f>VLOOKUP(B123, 'MLB Data'!$F$2:$H$34, 3, FALSE)</f>
        <v/>
      </c>
      <c r="G123" s="17">
        <f>IF((E123*0.6+F123*0.4)&lt;2.5, 2.8, IF((E123*0.6+F123*0.4)&gt;5.5, 5.2, (E123*0.6+F123*0.4)))</f>
        <v/>
      </c>
      <c r="H123" s="15" t="inlineStr">
        <is>
          <t>GIANTS</t>
        </is>
      </c>
      <c r="I123">
        <f>VLOOKUP(H123, 'MLB Data'!$B$5:$D$34, 3, FALSE)</f>
        <v/>
      </c>
      <c r="J123" s="16" t="inlineStr">
        <is>
          <t>ROUPP</t>
        </is>
      </c>
      <c r="K123" s="17" t="n">
        <v>3.74</v>
      </c>
      <c r="L123" s="17">
        <f>VLOOKUP(H123, 'MLB Data'!$F$2:$H$34, 3, FALSE)</f>
        <v/>
      </c>
      <c r="M123" s="17">
        <f>IF((K123*0.6+L123*0.4)&lt;2.5, 2.8, IF((K123*0.6+L123*0.4)&gt;5.5, 5.2, (K123*0.6+L123*0.4)))</f>
        <v/>
      </c>
      <c r="O123" s="18">
        <f>(C123/100) * 4.45 * (M123 / 4.2) * T123</f>
        <v/>
      </c>
      <c r="P123" s="18">
        <f>(I123/100) * 4.45 * (G123 / 4.2) * T123</f>
        <v/>
      </c>
      <c r="Q123" s="18">
        <f>(O123+P123)</f>
        <v/>
      </c>
      <c r="S123" s="15">
        <f>H123</f>
        <v/>
      </c>
      <c r="T123" s="19">
        <f>IF(S123="ROCKIES",1.13,IF(S123="ATHLETICS",1.03,IF(S123="ROYALS",1.03,IF(S123="TWINS",1,IF(S123="TIGERS",1,IF(S123="MARLINS",1.01,IF(S123="REDS",1.05,IF(S123="RED SOX",1.04,IF(S123="YANKEES",1.02,IF(S123="DODGERS",0.99,IF(S123="PADRES",0.96,IF(S123="CUBS",0.98,IF(S123="GIANTS",0.97,IF(S123="MARINERS",0.94,IF(S123="RANGERS",1,IF(S123="ASTROS",0.99,IF(S123="BRAVES",1,IF(S123="METS",0.96,IF(S123="PHILLIES",1.02,IF(S123="BLUE JAYS",1.01,IF(S123="ORIOLES",0.99,IF(S123="RAYS",1.01,IF(S123="GUARDIANS",0.99,IF(S123="WHITE SOX",0.98,IF(S123="ANGELS",1.01,IF(S123="D-BACKS",1.01,IF(S123="BREWERS",0.99,IF(S123="CARDINALS",0.96,IF(S123="PIRATES",1.02,IF(S123="NATIONALS",1,1))))))))))))))))))))))))))))))*IF(W123="",1,(1+((W123-70)/10*0.035)))*IF(U123="DOME",1,IF(U123="IN",1-(V123*0.01),IF(U123="OUT",1+(V123*0.01),IF(OR(U123="L-R",U123="R-L"),1+(V123*0.005),1))))</f>
        <v/>
      </c>
      <c r="U123" s="15" t="inlineStr">
        <is>
          <t>OUT</t>
        </is>
      </c>
      <c r="V123" s="15" t="n"/>
      <c r="W123" s="15" t="n">
        <v>71</v>
      </c>
      <c r="Y123">
        <f>B123 &amp; " vs. " &amp; H123</f>
        <v/>
      </c>
      <c r="Z123">
        <f>TRIM(LEFT(Y123, FIND("vs.", Y123)-1))</f>
        <v/>
      </c>
      <c r="AA123">
        <f>TRIM(MID(Y123, FIND(" vs. ", Y123)+4, 100))</f>
        <v/>
      </c>
      <c r="AB123">
        <f>IF(Q123 &gt; VALUE(AC123), "O " &amp; AC123, IF(Q123 &lt; VALUE(AC123), "U " &amp; AC123, AC123))</f>
        <v/>
      </c>
      <c r="AC123" s="15">
        <f>IF(OR(O123="-", P123="-"), "-", MROUND(O123 + P123, 0.5))</f>
        <v/>
      </c>
      <c r="AD123" s="15">
        <f>VALUE(TRIM(RIGHT(AF123, LEN(AF123) - FIND(" ", AF123))))</f>
        <v/>
      </c>
      <c r="AE123" s="15">
        <f>LEFT(AF123,FIND(" ",AF123)-1)</f>
        <v/>
      </c>
      <c r="AF123" s="15">
        <f>IF(OR(O123="-", P123="-"), "-",
IF(MROUND(ABS(O123-P123),0.5)&lt;=0.5,
IF(O123&gt;P123, B123 &amp; " ML", H123 &amp; " ML"),
IF(MROUND(ABS(O123-P123),0.5)=1,
IF(O123&gt;P123, H123 &amp; " +1.5", B123 &amp; " +1.5"),
IF(O123&gt;P123, B123 &amp; " -1.5", H123 &amp; " -1.5")
)
)
)</f>
        <v/>
      </c>
      <c r="AG123" s="15">
        <f>_xlfn.LET(
_xlpm.winA, O123^1.83 / (O123^1.83 + P123^1.83),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24">
      <c r="A124" s="14" t="n">
        <v>46116</v>
      </c>
      <c r="B124" s="15" t="inlineStr">
        <is>
          <t>MARINERS</t>
        </is>
      </c>
      <c r="C124">
        <f>VLOOKUP(B124, 'MLB Data'!$B$5:$D$34, 3, FALSE)</f>
        <v/>
      </c>
      <c r="D124" s="16" t="inlineStr">
        <is>
          <t>HANCOCK</t>
        </is>
      </c>
      <c r="E124" s="17" t="n">
        <v>4.45</v>
      </c>
      <c r="F124" s="17">
        <f>VLOOKUP(B124, 'MLB Data'!$F$2:$H$34, 3, FALSE)</f>
        <v/>
      </c>
      <c r="G124" s="17">
        <f>IF((E124*0.6+F124*0.4)&lt;2.5, 2.8, IF((E124*0.6+F124*0.4)&gt;5.5, 5.2, (E124*0.6+F124*0.4)))</f>
        <v/>
      </c>
      <c r="H124" s="15" t="inlineStr">
        <is>
          <t>ANGELS</t>
        </is>
      </c>
      <c r="I124">
        <f>VLOOKUP(H124, 'MLB Data'!$B$5:$D$34, 3, FALSE)</f>
        <v/>
      </c>
      <c r="J124" s="16" t="inlineStr">
        <is>
          <t>KOCHANOWICZ</t>
        </is>
      </c>
      <c r="K124" s="17" t="n">
        <v>4.98</v>
      </c>
      <c r="L124" s="17">
        <f>VLOOKUP(H124, 'MLB Data'!$F$2:$H$34, 3, FALSE)</f>
        <v/>
      </c>
      <c r="M124" s="17">
        <f>IF((K124*0.6+L124*0.4)&lt;2.5, 2.8, IF((K124*0.6+L124*0.4)&gt;5.5, 5.2, (K124*0.6+L124*0.4)))</f>
        <v/>
      </c>
      <c r="O124" s="18">
        <f>(C124/100) * 4.45 * (M124 / 4.2) * T124</f>
        <v/>
      </c>
      <c r="P124" s="18">
        <f>(I124/100) * 4.45 * (G124 / 4.2) * T124</f>
        <v/>
      </c>
      <c r="Q124" s="18">
        <f>(O124+P124)</f>
        <v/>
      </c>
      <c r="S124" s="15">
        <f>H124</f>
        <v/>
      </c>
      <c r="T124" s="19">
        <f>IF(S124="ROCKIES",1.13,IF(S124="ATHLETICS",1.03,IF(S124="ROYALS",1.03,IF(S124="TWINS",1,IF(S124="TIGERS",1,IF(S124="MARLINS",1.01,IF(S124="REDS",1.05,IF(S124="RED SOX",1.04,IF(S124="YANKEES",1.02,IF(S124="DODGERS",0.99,IF(S124="PADRES",0.96,IF(S124="CUBS",0.98,IF(S124="GIANTS",0.97,IF(S124="MARINERS",0.94,IF(S124="RANGERS",1,IF(S124="ASTROS",0.99,IF(S124="BRAVES",1,IF(S124="METS",0.96,IF(S124="PHILLIES",1.02,IF(S124="BLUE JAYS",1.01,IF(S124="ORIOLES",0.99,IF(S124="RAYS",1.01,IF(S124="GUARDIANS",0.99,IF(S124="WHITE SOX",0.98,IF(S124="ANGELS",1.01,IF(S124="D-BACKS",1.01,IF(S124="BREWERS",0.99,IF(S124="CARDINALS",0.96,IF(S124="PIRATES",1.02,IF(S124="NATIONALS",1,1))))))))))))))))))))))))))))))*IF(W124="",1,(1+((W124-70)/10*0.035)))*IF(U124="DOME",1,IF(U124="IN",1-(V124*0.01),IF(U124="OUT",1+(V124*0.01),IF(OR(U124="L-R",U124="R-L"),1+(V124*0.005),1))))</f>
        <v/>
      </c>
      <c r="U124" s="15" t="inlineStr">
        <is>
          <t>OUT</t>
        </is>
      </c>
      <c r="V124" s="15" t="n"/>
      <c r="W124" s="15" t="n">
        <v>77</v>
      </c>
      <c r="Y124">
        <f>B124 &amp; " vs. " &amp; H124</f>
        <v/>
      </c>
      <c r="Z124">
        <f>TRIM(LEFT(Y124, FIND("vs.", Y124)-1))</f>
        <v/>
      </c>
      <c r="AA124">
        <f>TRIM(MID(Y124, FIND(" vs. ", Y124)+4, 100))</f>
        <v/>
      </c>
      <c r="AB124">
        <f>IF(Q124 &gt; VALUE(AC124), "O " &amp; AC124, IF(Q124 &lt; VALUE(AC124), "U " &amp; AC124, AC124))</f>
        <v/>
      </c>
      <c r="AC124" s="15">
        <f>IF(OR(O124="-", P124="-"), "-", MROUND(O124 + P124, 0.5))</f>
        <v/>
      </c>
      <c r="AD124" s="15">
        <f>VALUE(TRIM(RIGHT(AF124, LEN(AF124) - FIND(" ", AF124))))</f>
        <v/>
      </c>
      <c r="AE124" s="15">
        <f>LEFT(AF124,FIND(" ",AF124)-1)</f>
        <v/>
      </c>
      <c r="AF124" s="15">
        <f>IF(OR(O124="-", P124="-"), "-",
IF(MROUND(ABS(O124-P124),0.5)&lt;=0.5,
IF(O124&gt;P124, B124 &amp; " ML", H124 &amp; " ML"),
IF(MROUND(ABS(O124-P124),0.5)=1,
IF(O124&gt;P124, H124 &amp; " +1.5", B124 &amp; " +1.5"),
IF(O124&gt;P124, B124 &amp; " -1.5", H124 &amp; " -1.5")
)
)
)</f>
        <v/>
      </c>
      <c r="AG124" s="15">
        <f>_xlfn.LET(
_xlpm.winA, O124^1.83 / (O124^1.83 + P124^1.83),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25">
      <c r="A125" s="14" t="n">
        <v>46116</v>
      </c>
      <c r="B125" s="15" t="inlineStr">
        <is>
          <t>BREWERS</t>
        </is>
      </c>
      <c r="C125">
        <f>VLOOKUP(B125, 'MLB Data'!$B$5:$D$34, 3, FALSE)</f>
        <v/>
      </c>
      <c r="D125" s="16" t="inlineStr">
        <is>
          <t>PATRICK</t>
        </is>
      </c>
      <c r="E125" s="17" t="n">
        <v>4.25</v>
      </c>
      <c r="F125" s="17">
        <f>VLOOKUP(B125, 'MLB Data'!$F$2:$H$34, 3, FALSE)</f>
        <v/>
      </c>
      <c r="G125" s="17">
        <f>IF((E125*0.6+F125*0.4)&lt;2.5, 2.8, IF((E125*0.6+F125*0.4)&gt;5.5, 5.2, (E125*0.6+F125*0.4)))</f>
        <v/>
      </c>
      <c r="H125" s="15" t="inlineStr">
        <is>
          <t>ROYALS</t>
        </is>
      </c>
      <c r="I125">
        <f>VLOOKUP(H125, 'MLB Data'!$B$5:$D$34, 3, FALSE)</f>
        <v/>
      </c>
      <c r="J125" s="16" t="inlineStr">
        <is>
          <t>AVILA</t>
        </is>
      </c>
      <c r="K125" s="17" t="n">
        <v>3.68</v>
      </c>
      <c r="L125" s="17">
        <f>VLOOKUP(H125, 'MLB Data'!$F$2:$H$34, 3, FALSE)</f>
        <v/>
      </c>
      <c r="M125" s="17">
        <f>IF((K125*0.6+L125*0.4)&lt;2.5, 2.8, IF((K125*0.6+L125*0.4)&gt;5.5, 5.2, (K125*0.6+L125*0.4)))</f>
        <v/>
      </c>
      <c r="O125" s="18">
        <f>(C125/100) * 4.45 * (M125 / 4.2) * T125</f>
        <v/>
      </c>
      <c r="P125" s="18">
        <f>(I125/100) * 4.45 * (G125 / 4.2) * T125</f>
        <v/>
      </c>
      <c r="Q125" s="18">
        <f>(O125+P125)</f>
        <v/>
      </c>
      <c r="S125" s="15">
        <f>H125</f>
        <v/>
      </c>
      <c r="T125" s="19">
        <f>IF(S125="ROCKIES",1.13,IF(S125="ATHLETICS",1.03,IF(S125="ROYALS",1.03,IF(S125="TWINS",1,IF(S125="TIGERS",1,IF(S125="MARLINS",1.01,IF(S125="REDS",1.05,IF(S125="RED SOX",1.04,IF(S125="YANKEES",1.02,IF(S125="DODGERS",0.99,IF(S125="PADRES",0.96,IF(S125="CUBS",0.98,IF(S125="GIANTS",0.97,IF(S125="MARINERS",0.94,IF(S125="RANGERS",1,IF(S125="ASTROS",0.99,IF(S125="BRAVES",1,IF(S125="METS",0.96,IF(S125="PHILLIES",1.02,IF(S125="BLUE JAYS",1.01,IF(S125="ORIOLES",0.99,IF(S125="RAYS",1.01,IF(S125="GUARDIANS",0.99,IF(S125="WHITE SOX",0.98,IF(S125="ANGELS",1.01,IF(S125="D-BACKS",1.01,IF(S125="BREWERS",0.99,IF(S125="CARDINALS",0.96,IF(S125="PIRATES",1.02,IF(S125="NATIONALS",1,1))))))))))))))))))))))))))))))*IF(W125="",1,(1+((W125-70)/10*0.035)))*IF(U125="DOME",1,IF(U125="IN",1-(V125*0.01),IF(U125="OUT",1+(V125*0.01),IF(OR(U125="L-R",U125="R-L"),1+(V125*0.005),1))))</f>
        <v/>
      </c>
      <c r="U125" s="15" t="inlineStr">
        <is>
          <t>L-R</t>
        </is>
      </c>
      <c r="V125" s="15" t="n"/>
      <c r="W125" s="15" t="n">
        <v>52</v>
      </c>
      <c r="Y125" s="23">
        <f>B125 &amp; " vs. " &amp; H125</f>
        <v/>
      </c>
      <c r="Z125" s="23">
        <f>TRIM(LEFT(Y125, FIND("vs.", Y125)-1))</f>
        <v/>
      </c>
      <c r="AA125" s="23">
        <f>TRIM(MID(Y125, FIND(" vs. ", Y125)+4, 100))</f>
        <v/>
      </c>
      <c r="AB125" s="23">
        <f>IF(Q125 &gt; VALUE(AC125), "O " &amp; AC125, IF(Q125 &lt; VALUE(AC125), "U " &amp; AC125, AC125))</f>
        <v/>
      </c>
      <c r="AC125" s="24">
        <f>IF(OR(O125="-", P125="-"), "-", MROUND(O125 + P125, 0.5))</f>
        <v/>
      </c>
      <c r="AD125" s="24">
        <f>VALUE(TRIM(RIGHT(AF125, LEN(AF125) - FIND(" ", AF125))))</f>
        <v/>
      </c>
      <c r="AE125" s="24">
        <f>LEFT(AF125,FIND(" ",AF125)-1)</f>
        <v/>
      </c>
      <c r="AF125" s="24">
        <f>IF(OR(O125="-", P125="-"), "-",
IF(MROUND(ABS(O125-P125),0.5)&lt;=0.5,
IF(O125&gt;P125, B125 &amp; " ML", H125 &amp; " ML"),
IF(MROUND(ABS(O125-P125),0.5)=1,
IF(O125&gt;P125, H125 &amp; " +1.5", B125 &amp; " +1.5"),
IF(O125&gt;P125, B125 &amp; " -1.5", H125 &amp; " -1.5")
)
)
)</f>
        <v/>
      </c>
      <c r="AG125" s="24">
        <f>_xlfn.LET(
_xlpm.winA, O125^1.83 / (O125^1.83 + P125^1.83),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26">
      <c r="A126" s="14" t="n">
        <v>46116</v>
      </c>
      <c r="B126" s="15" t="inlineStr">
        <is>
          <t>BREWERS</t>
        </is>
      </c>
      <c r="C126">
        <f>VLOOKUP(B126, 'MLB Data'!$B$5:$D$34, 3, FALSE)</f>
        <v/>
      </c>
      <c r="D126" s="16" t="inlineStr">
        <is>
          <t>SPROAT</t>
        </is>
      </c>
      <c r="E126" s="17" t="n">
        <v>4.07</v>
      </c>
      <c r="F126" s="17">
        <f>VLOOKUP(B126, 'MLB Data'!$F$2:$H$34, 3, FALSE)</f>
        <v/>
      </c>
      <c r="G126" s="17">
        <f>IF((E126*0.6+F126*0.4)&lt;2.5, 2.8, IF((E126*0.6+F126*0.4)&gt;5.5, 5.2, (E126*0.6+F126*0.4)))</f>
        <v/>
      </c>
      <c r="H126" s="15" t="inlineStr">
        <is>
          <t>ROYALS</t>
        </is>
      </c>
      <c r="I126">
        <f>VLOOKUP(H126, 'MLB Data'!$B$5:$D$34, 3, FALSE)</f>
        <v/>
      </c>
      <c r="J126" s="16" t="inlineStr">
        <is>
          <t>LUGO</t>
        </is>
      </c>
      <c r="K126" s="17" t="n">
        <v>4.95</v>
      </c>
      <c r="L126" s="17">
        <f>VLOOKUP(H126, 'MLB Data'!$F$2:$H$34, 3, FALSE)</f>
        <v/>
      </c>
      <c r="M126" s="17">
        <f>IF((K126*0.6+L126*0.4)&lt;2.5, 2.8, IF((K126*0.6+L126*0.4)&gt;5.5, 5.2, (K126*0.6+L126*0.4)))</f>
        <v/>
      </c>
      <c r="O126" s="18">
        <f>(C126/100) * 4.45 * (M126 / 4.2) * T126</f>
        <v/>
      </c>
      <c r="P126" s="18">
        <f>(I126/100) * 4.45 * (G126 / 4.2) * T126</f>
        <v/>
      </c>
      <c r="Q126" s="18">
        <f>(O126+P126)</f>
        <v/>
      </c>
      <c r="S126" s="15">
        <f>H126</f>
        <v/>
      </c>
      <c r="T126" s="19">
        <f>IF(S126="ROCKIES",1.13,IF(S126="ATHLETICS",1.03,IF(S126="ROYALS",1.03,IF(S126="TWINS",1,IF(S126="TIGERS",1,IF(S126="MARLINS",1.01,IF(S126="REDS",1.05,IF(S126="RED SOX",1.04,IF(S126="YANKEES",1.02,IF(S126="DODGERS",0.99,IF(S126="PADRES",0.96,IF(S126="CUBS",0.98,IF(S126="GIANTS",0.97,IF(S126="MARINERS",0.94,IF(S126="RANGERS",1,IF(S126="ASTROS",0.99,IF(S126="BRAVES",1,IF(S126="METS",0.96,IF(S126="PHILLIES",1.02,IF(S126="BLUE JAYS",1.01,IF(S126="ORIOLES",0.99,IF(S126="RAYS",1.01,IF(S126="GUARDIANS",0.99,IF(S126="WHITE SOX",0.98,IF(S126="ANGELS",1.01,IF(S126="D-BACKS",1.01,IF(S126="BREWERS",0.99,IF(S126="CARDINALS",0.96,IF(S126="PIRATES",1.02,IF(S126="NATIONALS",1,1))))))))))))))))))))))))))))))*IF(W126="",1,(1+((W126-70)/10*0.035)))*IF(U126="DOME",1,IF(U126="IN",1-(V126*0.01),IF(U126="OUT",1+(V126*0.01),IF(OR(U126="L-R",U126="R-L"),1+(V126*0.005),1))))</f>
        <v/>
      </c>
      <c r="U126" s="15" t="n"/>
      <c r="V126" s="15" t="n"/>
      <c r="W126" s="15" t="n"/>
      <c r="Y126">
        <f>B126 &amp; " vs. " &amp; H126</f>
        <v/>
      </c>
      <c r="Z126">
        <f>TRIM(LEFT(Y126, FIND("vs.", Y126)-1))</f>
        <v/>
      </c>
      <c r="AA126">
        <f>TRIM(MID(Y126, FIND(" vs. ", Y126)+4, 100))</f>
        <v/>
      </c>
      <c r="AB126">
        <f>IF(Q126 &gt; VALUE(AC126), "O " &amp; AC126, IF(Q126 &lt; VALUE(AC126), "U " &amp; AC126, AC126))</f>
        <v/>
      </c>
      <c r="AC126" s="15">
        <f>IF(OR(O126="-", P126="-"), "-", MROUND(O126 + P126, 0.5))</f>
        <v/>
      </c>
      <c r="AD126" s="15">
        <f>VALUE(TRIM(RIGHT(AF126, LEN(AF126) - FIND(" ", AF126))))</f>
        <v/>
      </c>
      <c r="AE126" s="15">
        <f>LEFT(AF126,FIND(" ",AF126)-1)</f>
        <v/>
      </c>
      <c r="AF126" s="15">
        <f>IF(OR(O126="-", P126="-"), "-",
IF(MROUND(ABS(O126-P126),0.5)&lt;=0.5,
IF(O126&gt;P126, B126 &amp; " ML", H126 &amp; " ML"),
IF(MROUND(ABS(O126-P126),0.5)=1,
IF(O126&gt;P126, H126 &amp; " +1.5", B126 &amp; " +1.5"),
IF(O126&gt;P126, B126 &amp; " -1.5", H126 &amp; " -1.5")
)
)
)</f>
        <v/>
      </c>
      <c r="AG126" s="15">
        <f>_xlfn.LET(
_xlpm.winA, O126^1.83 / (O126^1.83 + P126^1.83),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27">
      <c r="A127" s="14" t="n">
        <v>46117</v>
      </c>
      <c r="B127" s="15" t="inlineStr">
        <is>
          <t>DODGERS</t>
        </is>
      </c>
      <c r="C127">
        <f>VLOOKUP(B127, 'MLB Data'!$B$5:$D$34, 3, FALSE)</f>
        <v/>
      </c>
      <c r="D127" s="16" t="inlineStr">
        <is>
          <t>SASAKI</t>
        </is>
      </c>
      <c r="E127" s="17" t="n">
        <v>4.12</v>
      </c>
      <c r="F127" s="17">
        <f>VLOOKUP(B127, 'MLB Data'!$F$2:$H$34, 3, FALSE)</f>
        <v/>
      </c>
      <c r="G127" s="17">
        <f>IF((E127*0.6+F127*0.4)&lt;2.5, 2.8, IF((E127*0.6+F127*0.4)&gt;5.5, 5.2, (E127*0.6+F127*0.4)))</f>
        <v/>
      </c>
      <c r="H127" s="15" t="inlineStr">
        <is>
          <t>NATIONALS</t>
        </is>
      </c>
      <c r="I127">
        <f>VLOOKUP(H127, 'MLB Data'!$B$5:$D$34, 3, FALSE)</f>
        <v/>
      </c>
      <c r="J127" s="16" t="inlineStr">
        <is>
          <t>GRIFFIN</t>
        </is>
      </c>
      <c r="K127" s="17" t="n">
        <v>4.08</v>
      </c>
      <c r="L127" s="17">
        <f>VLOOKUP(H127, 'MLB Data'!$F$2:$H$34, 3, FALSE)</f>
        <v/>
      </c>
      <c r="M127" s="17">
        <f>IF((K127*0.6+L127*0.4)&lt;2.5, 2.8, IF((K127*0.6+L127*0.4)&gt;5.5, 5.2, (K127*0.6+L127*0.4)))</f>
        <v/>
      </c>
      <c r="O127" s="18">
        <f>(C127/100) * 4.45 * (M127 / 4.2) * T127</f>
        <v/>
      </c>
      <c r="P127" s="18">
        <f>(I127/100) * 4.45 * (G127 / 4.2) * T127</f>
        <v/>
      </c>
      <c r="Q127" s="18">
        <f>(O127+P127)</f>
        <v/>
      </c>
      <c r="S127" s="15">
        <f>H127</f>
        <v/>
      </c>
      <c r="T127" s="19">
        <f>IF(S127="ROCKIES",1.13,IF(S127="ATHLETICS",1.03,IF(S127="ROYALS",1.03,IF(S127="TWINS",1,IF(S127="TIGERS",1,IF(S127="MARLINS",1.01,IF(S127="REDS",1.05,IF(S127="RED SOX",1.04,IF(S127="YANKEES",1.02,IF(S127="DODGERS",0.99,IF(S127="PADRES",0.96,IF(S127="CUBS",0.98,IF(S127="GIANTS",0.97,IF(S127="MARINERS",0.94,IF(S127="RANGERS",1,IF(S127="ASTROS",0.99,IF(S127="BRAVES",1,IF(S127="METS",0.96,IF(S127="PHILLIES",1.02,IF(S127="BLUE JAYS",1.01,IF(S127="ORIOLES",0.99,IF(S127="RAYS",1.01,IF(S127="GUARDIANS",0.99,IF(S127="WHITE SOX",0.98,IF(S127="ANGELS",1.01,IF(S127="D-BACKS",1.01,IF(S127="BREWERS",0.99,IF(S127="CARDINALS",0.96,IF(S127="PIRATES",1.02,IF(S127="NATIONALS",1,1))))))))))))))))))))))))))))))*IF(W127="",1,(1+((W127-70)/10*0.035)))*IF(U127="DOME",1,IF(U127="IN",1-(V127*0.01),IF(U127="OUT",1+(V127*0.01),IF(OR(U127="L-R",U127="R-L"),1+(V127*0.005),1))))</f>
        <v/>
      </c>
      <c r="U127" s="15" t="inlineStr">
        <is>
          <t>OUT</t>
        </is>
      </c>
      <c r="V127" s="15" t="n"/>
      <c r="W127" s="15" t="n">
        <v>66</v>
      </c>
      <c r="Y127" s="21">
        <f>B127 &amp; " vs. " &amp; H127</f>
        <v/>
      </c>
      <c r="Z127" s="21">
        <f>TRIM(LEFT(Y127, FIND("vs.", Y127)-1))</f>
        <v/>
      </c>
      <c r="AA127" s="21">
        <f>TRIM(MID(Y127, FIND(" vs. ", Y127)+4, 100))</f>
        <v/>
      </c>
      <c r="AB127" s="21">
        <f>IF(Q127 &gt; VALUE(AC127), "O " &amp; AC127, IF(Q127 &lt; VALUE(AC127), "U " &amp; AC127, AC127))</f>
        <v/>
      </c>
      <c r="AC127" s="22">
        <f>IF(OR(O127="-", P127="-"), "-", MROUND(O127 + P127, 0.5))</f>
        <v/>
      </c>
      <c r="AD127" s="22">
        <f>VALUE(TRIM(RIGHT(AF127, LEN(AF127) - FIND(" ", AF127))))</f>
        <v/>
      </c>
      <c r="AE127" s="22">
        <f>LEFT(AF127,FIND(" ",AF127)-1)</f>
        <v/>
      </c>
      <c r="AF127" s="22">
        <f>IF(OR(O127="-", P127="-"), "-",
IF(MROUND(ABS(O127-P127),0.5)&lt;=0.5,
IF(O127&gt;P127, B127 &amp; " ML", H127 &amp; " ML"),
IF(MROUND(ABS(O127-P127),0.5)=1,
IF(O127&gt;P127, H127 &amp; " +1.5", B127 &amp; " +1.5"),
IF(O127&gt;P127, B127 &amp; " -1.5", H127 &amp; " -1.5")
)
)
)</f>
        <v/>
      </c>
      <c r="AG127" s="22">
        <f>_xlfn.LET(
_xlpm.winA, O127^1.83 / (O127^1.83 + P127^1.83),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28">
      <c r="A128" s="14" t="n">
        <v>46117</v>
      </c>
      <c r="B128" s="15" t="inlineStr">
        <is>
          <t>ORIOLES</t>
        </is>
      </c>
      <c r="C128">
        <f>VLOOKUP(B128, 'MLB Data'!$B$5:$D$34, 3, FALSE)</f>
        <v/>
      </c>
      <c r="D128" s="16" t="inlineStr">
        <is>
          <t>BASSITT</t>
        </is>
      </c>
      <c r="E128" s="17" t="n">
        <v>4.38</v>
      </c>
      <c r="F128" s="17">
        <f>VLOOKUP(B128, 'MLB Data'!$F$2:$H$34, 3, FALSE)</f>
        <v/>
      </c>
      <c r="G128" s="17">
        <f>IF((E128*0.6+F128*0.4)&lt;2.5, 2.8, IF((E128*0.6+F128*0.4)&gt;5.5, 5.2, (E128*0.6+F128*0.4)))</f>
        <v/>
      </c>
      <c r="H128" s="15" t="inlineStr">
        <is>
          <t>PIRATES</t>
        </is>
      </c>
      <c r="I128">
        <f>VLOOKUP(H128, 'MLB Data'!$B$5:$D$34, 3, FALSE)</f>
        <v/>
      </c>
      <c r="J128" s="16" t="inlineStr">
        <is>
          <t>ASHCRAFT</t>
        </is>
      </c>
      <c r="K128" s="17" t="n">
        <v>3.53</v>
      </c>
      <c r="L128" s="17">
        <f>VLOOKUP(H128, 'MLB Data'!$F$2:$H$34, 3, FALSE)</f>
        <v/>
      </c>
      <c r="M128" s="17">
        <f>IF((K128*0.6+L128*0.4)&lt;2.5, 2.8, IF((K128*0.6+L128*0.4)&gt;5.5, 5.2, (K128*0.6+L128*0.4)))</f>
        <v/>
      </c>
      <c r="O128" s="18">
        <f>(C128/100) * 4.45 * (M128 / 4.2) * T128</f>
        <v/>
      </c>
      <c r="P128" s="18">
        <f>(I128/100) * 4.45 * (G128 / 4.2) * T128</f>
        <v/>
      </c>
      <c r="Q128" s="18">
        <f>(O128+P128)</f>
        <v/>
      </c>
      <c r="S128" s="15">
        <f>H128</f>
        <v/>
      </c>
      <c r="T128" s="19">
        <f>IF(S128="ROCKIES",1.13,IF(S128="ATHLETICS",1.03,IF(S128="ROYALS",1.03,IF(S128="TWINS",1,IF(S128="TIGERS",1,IF(S128="MARLINS",1.01,IF(S128="REDS",1.05,IF(S128="RED SOX",1.04,IF(S128="YANKEES",1.02,IF(S128="DODGERS",0.99,IF(S128="PADRES",0.96,IF(S128="CUBS",0.98,IF(S128="GIANTS",0.97,IF(S128="MARINERS",0.94,IF(S128="RANGERS",1,IF(S128="ASTROS",0.99,IF(S128="BRAVES",1,IF(S128="METS",0.96,IF(S128="PHILLIES",1.02,IF(S128="BLUE JAYS",1.01,IF(S128="ORIOLES",0.99,IF(S128="RAYS",1.01,IF(S128="GUARDIANS",0.99,IF(S128="WHITE SOX",0.98,IF(S128="ANGELS",1.01,IF(S128="D-BACKS",1.01,IF(S128="BREWERS",0.99,IF(S128="CARDINALS",0.96,IF(S128="PIRATES",1.02,IF(S128="NATIONALS",1,1))))))))))))))))))))))))))))))*IF(W128="",1,(1+((W128-70)/10*0.035)))*IF(U128="DOME",1,IF(U128="IN",1-(V128*0.01),IF(U128="OUT",1+(V128*0.01),IF(OR(U128="L-R",U128="R-L"),1+(V128*0.005),1))))</f>
        <v/>
      </c>
      <c r="U128" s="15" t="inlineStr">
        <is>
          <t>OUT</t>
        </is>
      </c>
      <c r="V128" s="15" t="n"/>
      <c r="W128" s="15" t="n">
        <v>51</v>
      </c>
      <c r="Y128" s="21">
        <f>B128 &amp; " vs. " &amp; H128</f>
        <v/>
      </c>
      <c r="Z128" s="21">
        <f>TRIM(LEFT(Y128, FIND("vs.", Y128)-1))</f>
        <v/>
      </c>
      <c r="AA128" s="21">
        <f>TRIM(MID(Y128, FIND(" vs. ", Y128)+4, 100))</f>
        <v/>
      </c>
      <c r="AB128" s="21">
        <f>IF(Q128 &gt; VALUE(AC128), "O " &amp; AC128, IF(Q128 &lt; VALUE(AC128), "U " &amp; AC128, AC128))</f>
        <v/>
      </c>
      <c r="AC128" s="22">
        <f>IF(OR(O128="-", P128="-"), "-", MROUND(O128 + P128, 0.5))</f>
        <v/>
      </c>
      <c r="AD128" s="22">
        <f>VALUE(TRIM(RIGHT(AF128, LEN(AF128) - FIND(" ", AF128))))</f>
        <v/>
      </c>
      <c r="AE128" s="22">
        <f>LEFT(AF128,FIND(" ",AF128)-1)</f>
        <v/>
      </c>
      <c r="AF128" s="22">
        <f>IF(OR(O128="-", P128="-"), "-",
IF(MROUND(ABS(O128-P128),0.5)&lt;=0.5,
IF(O128&gt;P128, B128 &amp; " ML", H128 &amp; " ML"),
IF(MROUND(ABS(O128-P128),0.5)=1,
IF(O128&gt;P128, H128 &amp; " +1.5", B128 &amp; " +1.5"),
IF(O128&gt;P128, B128 &amp; " -1.5", H128 &amp; " -1.5")
)
)
)</f>
        <v/>
      </c>
      <c r="AG128" s="22">
        <f>_xlfn.LET(
_xlpm.winA, O128^1.83 / (O128^1.83 + P128^1.83),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29">
      <c r="A129" s="14" t="n">
        <v>46117</v>
      </c>
      <c r="B129" s="15" t="inlineStr">
        <is>
          <t>PADRES</t>
        </is>
      </c>
      <c r="C129">
        <f>VLOOKUP(B129, 'MLB Data'!$B$5:$D$34, 3, FALSE)</f>
        <v/>
      </c>
      <c r="D129" s="16" t="inlineStr">
        <is>
          <t>BUEHLER</t>
        </is>
      </c>
      <c r="E129" s="17" t="n">
        <v>5.01</v>
      </c>
      <c r="F129" s="17">
        <f>VLOOKUP(B129, 'MLB Data'!$F$2:$H$34, 3, FALSE)</f>
        <v/>
      </c>
      <c r="G129" s="17">
        <f>IF((E129*0.6+F129*0.4)&lt;2.5, 2.8, IF((E129*0.6+F129*0.4)&gt;5.5, 5.2, (E129*0.6+F129*0.4)))</f>
        <v/>
      </c>
      <c r="H129" s="15" t="inlineStr">
        <is>
          <t>RED SOX</t>
        </is>
      </c>
      <c r="I129">
        <f>VLOOKUP(H129, 'MLB Data'!$B$5:$D$34, 3, FALSE)</f>
        <v/>
      </c>
      <c r="J129" s="16" t="inlineStr">
        <is>
          <t>R. SUAREZ</t>
        </is>
      </c>
      <c r="K129" s="17" t="n">
        <v>3.66</v>
      </c>
      <c r="L129" s="17">
        <f>VLOOKUP(H129, 'MLB Data'!$F$2:$H$34, 3, FALSE)</f>
        <v/>
      </c>
      <c r="M129" s="17">
        <f>IF((K129*0.6+L129*0.4)&lt;2.5, 2.8, IF((K129*0.6+L129*0.4)&gt;5.5, 5.2, (K129*0.6+L129*0.4)))</f>
        <v/>
      </c>
      <c r="O129" s="18">
        <f>(C129/100) * 4.45 * (M129 / 4.2) * T129</f>
        <v/>
      </c>
      <c r="P129" s="18">
        <f>(I129/100) * 4.45 * (G129 / 4.2) * T129</f>
        <v/>
      </c>
      <c r="Q129" s="18">
        <f>(O129+P129)</f>
        <v/>
      </c>
      <c r="S129" s="15">
        <f>H129</f>
        <v/>
      </c>
      <c r="T129" s="19">
        <f>IF(S129="ROCKIES",1.13,IF(S129="ATHLETICS",1.03,IF(S129="ROYALS",1.03,IF(S129="TWINS",1,IF(S129="TIGERS",1,IF(S129="MARLINS",1.01,IF(S129="REDS",1.05,IF(S129="RED SOX",1.04,IF(S129="YANKEES",1.02,IF(S129="DODGERS",0.99,IF(S129="PADRES",0.96,IF(S129="CUBS",0.98,IF(S129="GIANTS",0.97,IF(S129="MARINERS",0.94,IF(S129="RANGERS",1,IF(S129="ASTROS",0.99,IF(S129="BRAVES",1,IF(S129="METS",0.96,IF(S129="PHILLIES",1.02,IF(S129="BLUE JAYS",1.01,IF(S129="ORIOLES",0.99,IF(S129="RAYS",1.01,IF(S129="GUARDIANS",0.99,IF(S129="WHITE SOX",0.98,IF(S129="ANGELS",1.01,IF(S129="D-BACKS",1.01,IF(S129="BREWERS",0.99,IF(S129="CARDINALS",0.96,IF(S129="PIRATES",1.02,IF(S129="NATIONALS",1,1))))))))))))))))))))))))))))))*IF(W129="",1,(1+((W129-70)/10*0.035)))*IF(U129="DOME",1,IF(U129="IN",1-(V129*0.01),IF(U129="OUT",1+(V129*0.01),IF(OR(U129="L-R",U129="R-L"),1+(V129*0.005),1))))</f>
        <v/>
      </c>
      <c r="U129" s="15" t="inlineStr">
        <is>
          <t>OUT</t>
        </is>
      </c>
      <c r="V129" s="15" t="n"/>
      <c r="W129" s="15" t="n">
        <v>59</v>
      </c>
      <c r="Y129" s="21">
        <f>B129 &amp; " vs. " &amp; H129</f>
        <v/>
      </c>
      <c r="Z129" s="21">
        <f>TRIM(LEFT(Y129, FIND("vs.", Y129)-1))</f>
        <v/>
      </c>
      <c r="AA129" s="21">
        <f>TRIM(MID(Y129, FIND(" vs. ", Y129)+4, 100))</f>
        <v/>
      </c>
      <c r="AB129" s="21">
        <f>IF(Q129 &gt; VALUE(AC129), "O " &amp; AC129, IF(Q129 &lt; VALUE(AC129), "U " &amp; AC129, AC129))</f>
        <v/>
      </c>
      <c r="AC129" s="22">
        <f>IF(OR(O129="-", P129="-"), "-", MROUND(O129 + P129, 0.5))</f>
        <v/>
      </c>
      <c r="AD129" s="22">
        <f>VALUE(TRIM(RIGHT(AF129, LEN(AF129) - FIND(" ", AF129))))</f>
        <v/>
      </c>
      <c r="AE129" s="22">
        <f>LEFT(AF129,FIND(" ",AF129)-1)</f>
        <v/>
      </c>
      <c r="AF129" s="22">
        <f>IF(OR(O129="-", P129="-"), "-",
IF(MROUND(ABS(O129-P129),0.5)&lt;=0.5,
IF(O129&gt;P129, B129 &amp; " ML", H129 &amp; " ML"),
IF(MROUND(ABS(O129-P129),0.5)=1,
IF(O129&gt;P129, H129 &amp; " +1.5", B129 &amp; " +1.5"),
IF(O129&gt;P129, B129 &amp; " -1.5", H129 &amp; " -1.5")
)
)
)</f>
        <v/>
      </c>
      <c r="AG129" s="22">
        <f>_xlfn.LET(
_xlpm.winA, O129^1.83 / (O129^1.83 + P129^1.83),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30">
      <c r="A130" s="14" t="n">
        <v>46117</v>
      </c>
      <c r="B130" s="15" t="inlineStr">
        <is>
          <t>MARLINS</t>
        </is>
      </c>
      <c r="C130">
        <f>VLOOKUP(B130, 'MLB Data'!$B$5:$D$34, 3, FALSE)</f>
        <v/>
      </c>
      <c r="D130" s="16" t="inlineStr">
        <is>
          <t>PADDACK</t>
        </is>
      </c>
      <c r="E130" s="17" t="n">
        <v>4.93</v>
      </c>
      <c r="F130" s="17">
        <f>VLOOKUP(B131, 'MLB Data'!$F$2:$H$34, 3, FALSE)</f>
        <v/>
      </c>
      <c r="G130" s="17">
        <f>IF((E130*0.6+F130*0.4)&lt;2.5, 2.8, IF((E130*0.6+F130*0.4)&gt;5.5, 5.2, (E130*0.6+F130*0.4)))</f>
        <v/>
      </c>
      <c r="H130" s="15" t="inlineStr">
        <is>
          <t>YANKEES</t>
        </is>
      </c>
      <c r="I130">
        <f>VLOOKUP(H130, 'MLB Data'!$B$5:$D$34, 3, FALSE)</f>
        <v/>
      </c>
      <c r="J130" s="16" t="inlineStr">
        <is>
          <t>FRIED</t>
        </is>
      </c>
      <c r="K130" s="17" t="n">
        <v>3.35</v>
      </c>
      <c r="L130" s="17">
        <f>VLOOKUP(H130, 'MLB Data'!$F$2:$H$34, 3, FALSE)</f>
        <v/>
      </c>
      <c r="M130" s="17">
        <f>IF((K130*0.6+L130*0.4)&lt;2.5, 2.8, IF((K130*0.6+L130*0.4)&gt;5.5, 5.2, (K130*0.6+L130*0.4)))</f>
        <v/>
      </c>
      <c r="O130" s="18">
        <f>(C130/100) * 4.45 * (M130 / 4.2) * T130</f>
        <v/>
      </c>
      <c r="P130" s="18">
        <f>(I130/100) * 4.45 * (G130 / 4.2) * T130</f>
        <v/>
      </c>
      <c r="Q130" s="18">
        <f>(O130+P130)</f>
        <v/>
      </c>
      <c r="S130" s="15">
        <f>H130</f>
        <v/>
      </c>
      <c r="T130" s="19">
        <f>IF(S130="ROCKIES",1.13,IF(S130="ATHLETICS",1.03,IF(S130="ROYALS",1.03,IF(S130="TWINS",1,IF(S130="TIGERS",1,IF(S130="MARLINS",1.01,IF(S130="REDS",1.05,IF(S130="RED SOX",1.04,IF(S130="YANKEES",1.02,IF(S130="DODGERS",0.99,IF(S130="PADRES",0.96,IF(S130="CUBS",0.98,IF(S130="GIANTS",0.97,IF(S130="MARINERS",0.94,IF(S130="RANGERS",1,IF(S130="ASTROS",0.99,IF(S130="BRAVES",1,IF(S130="METS",0.96,IF(S130="PHILLIES",1.02,IF(S130="BLUE JAYS",1.01,IF(S130="ORIOLES",0.99,IF(S130="RAYS",1.01,IF(S130="GUARDIANS",0.99,IF(S130="WHITE SOX",0.98,IF(S130="ANGELS",1.01,IF(S130="D-BACKS",1.01,IF(S130="BREWERS",0.99,IF(S130="CARDINALS",0.96,IF(S130="PIRATES",1.02,IF(S130="NATIONALS",1,1))))))))))))))))))))))))))))))*IF(W130="",1,(1+((W130-70)/10*0.035)))*IF(U130="DOME",1,IF(U130="IN",1-(V130*0.01),IF(U130="OUT",1+(V130*0.01),IF(OR(U130="L-R",U130="R-L"),1+(V130*0.005),1))))</f>
        <v/>
      </c>
      <c r="U130" s="15" t="inlineStr">
        <is>
          <t>OUT</t>
        </is>
      </c>
      <c r="V130" s="15" t="n"/>
      <c r="W130" s="15" t="n">
        <v>61</v>
      </c>
      <c r="Y130" s="21">
        <f>B130 &amp; " vs. " &amp; H130</f>
        <v/>
      </c>
      <c r="Z130" s="21">
        <f>TRIM(LEFT(Y130, FIND("vs.", Y130)-1))</f>
        <v/>
      </c>
      <c r="AA130" s="21">
        <f>TRIM(MID(Y130, FIND(" vs. ", Y130)+4, 100))</f>
        <v/>
      </c>
      <c r="AB130" s="21">
        <f>IF(Q130 &gt; VALUE(AC130), "O " &amp; AC130, IF(Q130 &lt; VALUE(AC130), "U " &amp; AC130, AC130))</f>
        <v/>
      </c>
      <c r="AC130" s="22">
        <f>IF(OR(O130="-", P130="-"), "-", MROUND(O130 + P130, 0.5))</f>
        <v/>
      </c>
      <c r="AD130" s="22">
        <f>VALUE(TRIM(RIGHT(AF130, LEN(AF130) - FIND(" ", AF130))))</f>
        <v/>
      </c>
      <c r="AE130" s="22">
        <f>LEFT(AF130,FIND(" ",AF130)-1)</f>
        <v/>
      </c>
      <c r="AF130" s="22">
        <f>IF(OR(O130="-", P130="-"), "-",
    IF(MROUND(ABS(O130-P130),0.5)&lt;=0.5,
        IF(O130&gt;P130, B130 &amp; " ML", H130 &amp; " ML"),
        IF(MROUND(ABS(O130-P130),0.5)=1,
            IF(O130&gt;P130, H130 &amp; " +1.5", B130 &amp; " +1.5"),
            IF(O130&gt;P130, B130 &amp; " -1.5", H130 &amp; " -1.5")
        )
    )
)</f>
        <v/>
      </c>
      <c r="AG130" s="22">
        <f>_xlfn.LET(
    _xlpm.winA, O130^1.83 / (O130^1.83 + P130^1.83),
    _xlpm.winB, 1 - _xlpm.winA,
    _xlpm.oddsA, IF(_xlpm.winA &gt;= 0.5, "-" &amp; ROUND(_xlpm.winA / (1 - _xlpm.winA) * 100, 0), "+" &amp; ROUND((1 - _xlpm.winA) / _xlpm.winA * 100, 0)),
    _xlpm.oddsB, IF(_xlpm.winB &gt;= 0.5, "-" &amp; ROUND(_xlpm.winB / (1 - _xlpm.winB) * 100, 0), "+" &amp; ROUND((1 - _xlpm.winB) / _xlpm.winB * 100, 0)),
    _xlpm.oddsA &amp; " / " &amp; _xlpm.oddsB
)</f>
        <v/>
      </c>
    </row>
    <row r="131">
      <c r="A131" s="14" t="n">
        <v>46117</v>
      </c>
      <c r="B131" s="15" t="inlineStr">
        <is>
          <t>RAYS</t>
        </is>
      </c>
      <c r="C131">
        <f>VLOOKUP(B131, 'MLB Data'!$B$5:$D$34, 3, FALSE)</f>
        <v/>
      </c>
      <c r="D131" s="16" t="inlineStr">
        <is>
          <t>N. MARTINEZ</t>
        </is>
      </c>
      <c r="E131" s="17" t="n">
        <v>4.82</v>
      </c>
      <c r="F131" s="17">
        <f>VLOOKUP(B132, 'MLB Data'!$F$2:$H$34, 3, FALSE)</f>
        <v/>
      </c>
      <c r="G131" s="17">
        <f>IF((E131*0.6+F131*0.4)&lt;2.5, 2.8, IF((E131*0.6+F131*0.4)&gt;5.5, 5.2, (E131*0.6+F131*0.4)))</f>
        <v/>
      </c>
      <c r="H131" s="15" t="inlineStr">
        <is>
          <t>TWINS</t>
        </is>
      </c>
      <c r="I131">
        <f>VLOOKUP(H131, 'MLB Data'!$B$5:$D$34, 3, FALSE)</f>
        <v/>
      </c>
      <c r="J131" s="16" t="inlineStr">
        <is>
          <t>WOODS-R</t>
        </is>
      </c>
      <c r="K131" s="17" t="n">
        <v>4.53</v>
      </c>
      <c r="L131" s="17">
        <f>VLOOKUP(H131, 'MLB Data'!$F$2:$H$34, 3, FALSE)</f>
        <v/>
      </c>
      <c r="M131" s="17">
        <f>IF((K131*0.6+L131*0.4)&lt;2.5, 2.8, IF((K131*0.6+L131*0.4)&gt;5.5, 5.2, (K131*0.6+L131*0.4)))</f>
        <v/>
      </c>
      <c r="O131" s="18">
        <f>(C131/100) * 4.45 * (M131 / 4.2) * T131</f>
        <v/>
      </c>
      <c r="P131" s="18">
        <f>(I131/100) * 4.45 * (G131 / 4.2) * T131</f>
        <v/>
      </c>
      <c r="Q131" s="18">
        <f>(O131+P131)</f>
        <v/>
      </c>
      <c r="S131" s="15">
        <f>H131</f>
        <v/>
      </c>
      <c r="T131" s="19">
        <f>IF(S131="ROCKIES",1.13,IF(S131="ATHLETICS",1.03,IF(S131="ROYALS",1.03,IF(S131="TWINS",1,IF(S131="TIGERS",1,IF(S131="MARLINS",1.01,IF(S131="REDS",1.05,IF(S131="RED SOX",1.04,IF(S131="YANKEES",1.02,IF(S131="DODGERS",0.99,IF(S131="PADRES",0.96,IF(S131="CUBS",0.98,IF(S131="GIANTS",0.97,IF(S131="MARINERS",0.94,IF(S131="RANGERS",1,IF(S131="ASTROS",0.99,IF(S131="BRAVES",1,IF(S131="METS",0.96,IF(S131="PHILLIES",1.02,IF(S131="BLUE JAYS",1.01,IF(S131="ORIOLES",0.99,IF(S131="RAYS",1.01,IF(S131="GUARDIANS",0.99,IF(S131="WHITE SOX",0.98,IF(S131="ANGELS",1.01,IF(S131="D-BACKS",1.01,IF(S131="BREWERS",0.99,IF(S131="CARDINALS",0.96,IF(S131="PIRATES",1.02,IF(S131="NATIONALS",1,1))))))))))))))))))))))))))))))*IF(W131="",1,(1+((W131-70)/10*0.035)))*IF(U131="DOME",1,IF(U131="IN",1-(V131*0.01),IF(U131="OUT",1+(V131*0.01),IF(OR(U131="L-R",U131="R-L"),1+(V131*0.005),1))))</f>
        <v/>
      </c>
      <c r="U131" s="15" t="inlineStr">
        <is>
          <t>OUT</t>
        </is>
      </c>
      <c r="V131" s="15" t="n"/>
      <c r="W131" s="15" t="n">
        <v>47</v>
      </c>
      <c r="Y131">
        <f>B131 &amp; " vs. " &amp; H131</f>
        <v/>
      </c>
      <c r="Z131">
        <f>TRIM(LEFT(Y131, FIND("vs.", Y131)-1))</f>
        <v/>
      </c>
      <c r="AA131">
        <f>TRIM(MID(Y131, FIND(" vs. ", Y131)+4, 100))</f>
        <v/>
      </c>
      <c r="AB131">
        <f>IF(Q131 &gt; VALUE(AC131), "O " &amp; AC131, IF(Q131 &lt; VALUE(AC131), "U " &amp; AC131, AC131))</f>
        <v/>
      </c>
      <c r="AC131" s="15">
        <f>IF(OR(O131="-", P131="-"), "-", MROUND(O131 + P131, 0.5))</f>
        <v/>
      </c>
      <c r="AD131" s="15">
        <f>VALUE(TRIM(RIGHT(AF131, LEN(AF131) - FIND(" ", AF131))))</f>
        <v/>
      </c>
      <c r="AE131" s="15">
        <f>LEFT(AF131,FIND(" ",AF131)-1)</f>
        <v/>
      </c>
      <c r="AF131" s="15">
        <f>IF(OR(O131="-", P131="-"), "-",
IF(MROUND(ABS(O131-P131),0.5)&lt;=0.5,
IF(O131&gt;P131, B131 &amp; " ML", H131 &amp; " ML"),
IF(MROUND(ABS(O131-P131),0.5)=1,
IF(O131&gt;P131, H131 &amp; " +1.5", B131 &amp; " +1.5"),
IF(O131&gt;P131, B131 &amp; " -1.5", H131 &amp; " -1.5")
)
)
)</f>
        <v/>
      </c>
      <c r="AG131" s="15">
        <f>_xlfn.LET(
_xlpm.winA, O131^1.83 / (O131^1.83 + P131^1.83),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32">
      <c r="A132" s="14" t="n">
        <v>46117</v>
      </c>
      <c r="B132" s="15" t="inlineStr">
        <is>
          <t>BLUE JAYS</t>
        </is>
      </c>
      <c r="C132">
        <f>VLOOKUP(B132, 'MLB Data'!$B$5:$D$34, 3, FALSE)</f>
        <v/>
      </c>
      <c r="D132" s="16" t="inlineStr">
        <is>
          <t>LAUER</t>
        </is>
      </c>
      <c r="E132" s="17" t="n">
        <v>4.62</v>
      </c>
      <c r="F132" s="17">
        <f>VLOOKUP(B133, 'MLB Data'!$F$2:$H$34, 3, FALSE)</f>
        <v/>
      </c>
      <c r="G132" s="17">
        <f>IF((E132*0.6+F132*0.4)&lt;2.5, 2.8, IF((E132*0.6+F132*0.4)&gt;5.5, 5.2, (E132*0.6+F132*0.4)))</f>
        <v/>
      </c>
      <c r="H132" s="15" t="inlineStr">
        <is>
          <t>WHITE SOX</t>
        </is>
      </c>
      <c r="I132">
        <f>VLOOKUP(H132, 'MLB Data'!$B$5:$D$34, 3, FALSE)</f>
        <v/>
      </c>
      <c r="J132" s="16" t="inlineStr">
        <is>
          <t>MARTIN</t>
        </is>
      </c>
      <c r="K132" s="17" t="n">
        <v>5.2</v>
      </c>
      <c r="L132" s="17">
        <f>VLOOKUP(H132, 'MLB Data'!$F$2:$H$34, 3, FALSE)</f>
        <v/>
      </c>
      <c r="M132" s="17">
        <f>IF((K132*0.6+L132*0.4)&lt;2.5, 2.8, IF((K132*0.6+L132*0.4)&gt;5.5, 5.2, (K132*0.6+L132*0.4)))</f>
        <v/>
      </c>
      <c r="O132" s="18">
        <f>(C132/100) * 4.45 * (M132 / 4.2) * T132</f>
        <v/>
      </c>
      <c r="P132" s="18">
        <f>(I132/100) * 4.45 * (G132 / 4.2) * T132</f>
        <v/>
      </c>
      <c r="Q132" s="18">
        <f>(O132+P132)</f>
        <v/>
      </c>
      <c r="S132" s="15">
        <f>H132</f>
        <v/>
      </c>
      <c r="T132" s="19">
        <f>IF(S132="ROCKIES",1.13,IF(S132="ATHLETICS",1.03,IF(S132="ROYALS",1.03,IF(S132="TWINS",1,IF(S132="TIGERS",1,IF(S132="MARLINS",1.01,IF(S132="REDS",1.05,IF(S132="RED SOX",1.04,IF(S132="YANKEES",1.02,IF(S132="DODGERS",0.99,IF(S132="PADRES",0.96,IF(S132="CUBS",0.98,IF(S132="GIANTS",0.97,IF(S132="MARINERS",0.94,IF(S132="RANGERS",1,IF(S132="ASTROS",0.99,IF(S132="BRAVES",1,IF(S132="METS",0.96,IF(S132="PHILLIES",1.02,IF(S132="BLUE JAYS",1.01,IF(S132="ORIOLES",0.99,IF(S132="RAYS",1.01,IF(S132="GUARDIANS",0.99,IF(S132="WHITE SOX",0.98,IF(S132="ANGELS",1.01,IF(S132="D-BACKS",1.01,IF(S132="BREWERS",0.99,IF(S132="CARDINALS",0.96,IF(S132="PIRATES",1.02,IF(S132="NATIONALS",1,1))))))))))))))))))))))))))))))*IF(W132="",1,(1+((W132-70)/10*0.035)))*IF(U132="DOME",1,IF(U132="IN",1-(V132*0.01),IF(U132="OUT",1+(V132*0.01),IF(OR(U132="L-R",U132="R-L"),1+(V132*0.005),1))))</f>
        <v/>
      </c>
      <c r="U132" s="15" t="inlineStr">
        <is>
          <t>OUT</t>
        </is>
      </c>
      <c r="V132" s="15" t="n"/>
      <c r="W132" s="15" t="n">
        <v>48</v>
      </c>
      <c r="Y132" s="25">
        <f>B132 &amp; " vs. " &amp; H132</f>
        <v/>
      </c>
      <c r="Z132" s="25">
        <f>TRIM(LEFT(Y132, FIND("vs.", Y132)-1))</f>
        <v/>
      </c>
      <c r="AA132" s="25">
        <f>TRIM(MID(Y132, FIND(" vs. ", Y132)+4, 100))</f>
        <v/>
      </c>
      <c r="AB132" s="25">
        <f>IF(Q132 &gt; VALUE(AC132), "O " &amp; AC132, IF(Q132 &lt; VALUE(AC132), "U " &amp; AC132, AC132))</f>
        <v/>
      </c>
      <c r="AC132" s="26">
        <f>IF(OR(O132="-", P132="-"), "-", MROUND(O132 + P132, 0.5))</f>
        <v/>
      </c>
      <c r="AD132" s="26">
        <f>VALUE(TRIM(RIGHT(AF132, LEN(AF132) - FIND(" ", AF132))))</f>
        <v/>
      </c>
      <c r="AE132" s="26">
        <f>LEFT(AF132,FIND(" ",AF132)-1)</f>
        <v/>
      </c>
      <c r="AF132" s="26">
        <f>IF(OR(O132="-", P132="-"), "-",
IF(MROUND(ABS(O132-P132),0.5)&lt;=0.5,
IF(O132&gt;P132, B132 &amp; " ML", H132 &amp; " ML"),
IF(MROUND(ABS(O132-P132),0.5)=1,
IF(O132&gt;P132, H132 &amp; " +1.5", B132 &amp; " +1.5"),
IF(O132&gt;P132, B132 &amp; " -1.5", H132 &amp; " -1.5")
)
)
)</f>
        <v/>
      </c>
      <c r="AG132" s="26">
        <f>_xlfn.LET(
_xlpm.winA, O132^1.83 / (O132^1.83 + P132^1.83),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33">
      <c r="A133" s="14" t="n">
        <v>46117</v>
      </c>
      <c r="B133" s="15" t="inlineStr">
        <is>
          <t>BREWERS</t>
        </is>
      </c>
      <c r="C133">
        <f>VLOOKUP(B133, 'MLB Data'!$B$5:$D$34, 3, FALSE)</f>
        <v/>
      </c>
      <c r="D133" s="16" t="inlineStr">
        <is>
          <t>HARRISON</t>
        </is>
      </c>
      <c r="E133" s="17" t="n">
        <v>4.03</v>
      </c>
      <c r="F133" s="17">
        <f>VLOOKUP(B134, 'MLB Data'!$F$2:$H$34, 3, FALSE)</f>
        <v/>
      </c>
      <c r="G133" s="17">
        <f>IF((E133*0.6+F133*0.4)&lt;2.5, 2.8, IF((E133*0.6+F133*0.4)&gt;5.5, 5.2, (E133*0.6+F133*0.4)))</f>
        <v/>
      </c>
      <c r="H133" s="15" t="inlineStr">
        <is>
          <t>ROYALS</t>
        </is>
      </c>
      <c r="I133">
        <f>VLOOKUP(H133, 'MLB Data'!$B$5:$D$34, 3, FALSE)</f>
        <v/>
      </c>
      <c r="J133" s="16" t="inlineStr">
        <is>
          <t>BUBIC</t>
        </is>
      </c>
      <c r="K133" s="17" t="n">
        <v>3.75</v>
      </c>
      <c r="L133" s="17">
        <f>VLOOKUP(H133, 'MLB Data'!$F$2:$H$34, 3, FALSE)</f>
        <v/>
      </c>
      <c r="M133" s="17">
        <f>IF((K133*0.6+L133*0.4)&lt;2.5, 2.8, IF((K133*0.6+L133*0.4)&gt;5.5, 5.2, (K133*0.6+L133*0.4)))</f>
        <v/>
      </c>
      <c r="O133" s="18">
        <f>(C133/100) * 4.45 * (M133 / 4.2) * T133</f>
        <v/>
      </c>
      <c r="P133" s="18">
        <f>(I133/100) * 4.45 * (G133 / 4.2) * T133</f>
        <v/>
      </c>
      <c r="Q133" s="18">
        <f>(O133+P133)</f>
        <v/>
      </c>
      <c r="S133" s="15">
        <f>H133</f>
        <v/>
      </c>
      <c r="T133" s="19">
        <f>IF(S133="ROCKIES",1.13,IF(S133="ATHLETICS",1.03,IF(S133="ROYALS",1.03,IF(S133="TWINS",1,IF(S133="TIGERS",1,IF(S133="MARLINS",1.01,IF(S133="REDS",1.05,IF(S133="RED SOX",1.04,IF(S133="YANKEES",1.02,IF(S133="DODGERS",0.99,IF(S133="PADRES",0.96,IF(S133="CUBS",0.98,IF(S133="GIANTS",0.97,IF(S133="MARINERS",0.94,IF(S133="RANGERS",1,IF(S133="ASTROS",0.99,IF(S133="BRAVES",1,IF(S133="METS",0.96,IF(S133="PHILLIES",1.02,IF(S133="BLUE JAYS",1.01,IF(S133="ORIOLES",0.99,IF(S133="RAYS",1.01,IF(S133="GUARDIANS",0.99,IF(S133="WHITE SOX",0.98,IF(S133="ANGELS",1.01,IF(S133="D-BACKS",1.01,IF(S133="BREWERS",0.99,IF(S133="CARDINALS",0.96,IF(S133="PIRATES",1.02,IF(S133="NATIONALS",1,1))))))))))))))))))))))))))))))*IF(W133="",1,(1+((W133-70)/10*0.035)))*IF(U133="DOME",1,IF(U133="IN",1-(V133*0.01),IF(U133="OUT",1+(V133*0.01),IF(OR(U133="L-R",U133="R-L"),1+(V133*0.005),1))))</f>
        <v/>
      </c>
      <c r="U133" s="15" t="inlineStr">
        <is>
          <t>L-R</t>
        </is>
      </c>
      <c r="V133" s="15" t="n"/>
      <c r="W133" s="15" t="n">
        <v>56</v>
      </c>
      <c r="Y133">
        <f>B133 &amp; " vs. " &amp; H133</f>
        <v/>
      </c>
      <c r="Z133">
        <f>TRIM(LEFT(Y133, FIND("vs.", Y133)-1))</f>
        <v/>
      </c>
      <c r="AA133">
        <f>TRIM(MID(Y133, FIND(" vs. ", Y133)+4, 100))</f>
        <v/>
      </c>
      <c r="AB133">
        <f>IF(Q133 &gt; VALUE(AC133), "O " &amp; AC133, IF(Q133 &lt; VALUE(AC133), "U " &amp; AC133, AC133))</f>
        <v/>
      </c>
      <c r="AC133" s="15">
        <f>IF(OR(O133="-", P133="-"), "-", MROUND(O133 + P133, 0.5))</f>
        <v/>
      </c>
      <c r="AD133" s="15">
        <f>VALUE(TRIM(RIGHT(AF133, LEN(AF133) - FIND(" ", AF133))))</f>
        <v/>
      </c>
      <c r="AE133" s="15">
        <f>LEFT(AF133,FIND(" ",AF133)-1)</f>
        <v/>
      </c>
      <c r="AF133" s="15">
        <f>IF(OR(O133="-", P133="-"), "-",
IF(MROUND(ABS(O133-P133),0.5)&lt;=0.5,
IF(O133&gt;P133, B133 &amp; " ML", H133 &amp; " ML"),
IF(MROUND(ABS(O133-P133),0.5)=1,
IF(O133&gt;P133, H133 &amp; " +1.5", B133 &amp; " +1.5"),
IF(O133&gt;P133, B133 &amp; " -1.5", H133 &amp; " -1.5")
)
)
)</f>
        <v/>
      </c>
      <c r="AG133" s="15">
        <f>_xlfn.LET(
_xlpm.winA, O133^1.83 / (O133^1.83 + P133^1.83),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34">
      <c r="A134" s="14" t="n">
        <v>46117</v>
      </c>
      <c r="B134" s="15" t="inlineStr">
        <is>
          <t>REDS</t>
        </is>
      </c>
      <c r="C134">
        <f>VLOOKUP(B134, 'MLB Data'!$B$5:$D$34, 3, FALSE)</f>
        <v/>
      </c>
      <c r="D134" s="16" t="inlineStr">
        <is>
          <t>BURNS</t>
        </is>
      </c>
      <c r="E134" s="17" t="n">
        <v>3.21</v>
      </c>
      <c r="F134" s="17">
        <f>VLOOKUP(B135, 'MLB Data'!$F$2:$H$34, 3, FALSE)</f>
        <v/>
      </c>
      <c r="G134" s="17">
        <f>IF((E134*0.6+F134*0.4)&lt;2.5, 2.8, IF((E134*0.6+F134*0.4)&gt;5.5, 5.2, (E134*0.6+F134*0.4)))</f>
        <v/>
      </c>
      <c r="H134" s="15" t="inlineStr">
        <is>
          <t>RANGERS</t>
        </is>
      </c>
      <c r="I134">
        <f>VLOOKUP(H134, 'MLB Data'!$B$5:$D$34, 3, FALSE)</f>
        <v/>
      </c>
      <c r="J134" s="16" t="inlineStr">
        <is>
          <t>LEITER</t>
        </is>
      </c>
      <c r="K134" s="17" t="n">
        <v>4.46</v>
      </c>
      <c r="L134" s="17">
        <f>VLOOKUP(H134, 'MLB Data'!$F$2:$H$34, 3, FALSE)</f>
        <v/>
      </c>
      <c r="M134" s="17">
        <f>IF((K134*0.6+L134*0.4)&lt;2.5, 2.8, IF((K134*0.6+L134*0.4)&gt;5.5, 5.2, (K134*0.6+L134*0.4)))</f>
        <v/>
      </c>
      <c r="O134" s="18">
        <f>(C134/100) * 4.45 * (M134 / 4.2) * T134</f>
        <v/>
      </c>
      <c r="P134" s="18">
        <f>(I134/100) * 4.45 * (G134 / 4.2) * T134</f>
        <v/>
      </c>
      <c r="Q134" s="18">
        <f>(O134+P134)</f>
        <v/>
      </c>
      <c r="S134" s="15">
        <f>H134</f>
        <v/>
      </c>
      <c r="T134" s="19">
        <f>IF(S134="ROCKIES",1.13,IF(S134="ATHLETICS",1.03,IF(S134="ROYALS",1.03,IF(S134="TWINS",1,IF(S134="TIGERS",1,IF(S134="MARLINS",1.01,IF(S134="REDS",1.05,IF(S134="RED SOX",1.04,IF(S134="YANKEES",1.02,IF(S134="DODGERS",0.99,IF(S134="PADRES",0.96,IF(S134="CUBS",0.98,IF(S134="GIANTS",0.97,IF(S134="MARINERS",0.94,IF(S134="RANGERS",1,IF(S134="ASTROS",0.99,IF(S134="BRAVES",1,IF(S134="METS",0.96,IF(S134="PHILLIES",1.02,IF(S134="BLUE JAYS",1.01,IF(S134="ORIOLES",0.99,IF(S134="RAYS",1.01,IF(S134="GUARDIANS",0.99,IF(S134="WHITE SOX",0.98,IF(S134="ANGELS",1.01,IF(S134="D-BACKS",1.01,IF(S134="BREWERS",0.99,IF(S134="CARDINALS",0.96,IF(S134="PIRATES",1.02,IF(S134="NATIONALS",1,1))))))))))))))))))))))))))))))*IF(W134="",1,(1+((W134-70)/10*0.035)))*IF(U134="DOME",1,IF(U134="IN",1-(V134*0.01),IF(U134="OUT",1+(V134*0.01),IF(OR(U134="L-R",U134="R-L"),1+(V134*0.005),1))))</f>
        <v/>
      </c>
      <c r="U134" s="15" t="inlineStr">
        <is>
          <t>DOME</t>
        </is>
      </c>
      <c r="V134" s="15" t="n"/>
      <c r="W134" s="15" t="n">
        <v>67</v>
      </c>
      <c r="Y134">
        <f>B134 &amp; " vs. " &amp; H134</f>
        <v/>
      </c>
      <c r="Z134">
        <f>TRIM(LEFT(Y134, FIND("vs.", Y134)-1))</f>
        <v/>
      </c>
      <c r="AA134">
        <f>TRIM(MID(Y134, FIND(" vs. ", Y134)+4, 100))</f>
        <v/>
      </c>
      <c r="AB134">
        <f>IF(Q134 &gt; VALUE(AC134), "O " &amp; AC134, IF(Q134 &lt; VALUE(AC134), "U " &amp; AC134, AC134))</f>
        <v/>
      </c>
      <c r="AC134" s="15">
        <f>IF(OR(O134="-", P134="-"), "-", MROUND(O134 + P134, 0.5))</f>
        <v/>
      </c>
      <c r="AD134" s="15">
        <f>VALUE(TRIM(RIGHT(AF134, LEN(AF134) - FIND(" ", AF134))))</f>
        <v/>
      </c>
      <c r="AE134" s="15">
        <f>LEFT(AF134,FIND(" ",AF134)-1)</f>
        <v/>
      </c>
      <c r="AF134" s="15">
        <f>IF(OR(O134="-", P134="-"), "-",
IF(MROUND(ABS(O134-P134),0.5)&lt;=0.5,
IF(O134&gt;P134, B134 &amp; " ML", H134 &amp; " ML"),
IF(MROUND(ABS(O134-P134),0.5)=1,
IF(O134&gt;P134, H134 &amp; " +1.5", B134 &amp; " +1.5"),
IF(O134&gt;P134, B134 &amp; " -1.5", H134 &amp; " -1.5")
)
)
)</f>
        <v/>
      </c>
      <c r="AG134" s="15">
        <f>_xlfn.LET(
_xlpm.winA, O134^1.83 / (O134^1.83 + P134^1.83),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35">
      <c r="A135" s="14" t="n">
        <v>46117</v>
      </c>
      <c r="B135" s="15" t="inlineStr">
        <is>
          <t>PHILLIES</t>
        </is>
      </c>
      <c r="C135">
        <f>VLOOKUP(B135, 'MLB Data'!$B$5:$D$34, 3, FALSE)</f>
        <v/>
      </c>
      <c r="D135" s="16" t="inlineStr">
        <is>
          <t>WALKER</t>
        </is>
      </c>
      <c r="E135" s="17" t="n">
        <v>5.1</v>
      </c>
      <c r="F135" s="17">
        <f>VLOOKUP(B136, 'MLB Data'!$F$2:$H$34, 3, FALSE)</f>
        <v/>
      </c>
      <c r="G135" s="17">
        <f>IF((E135*0.6+F135*0.4)&lt;2.5, 2.8, IF((E135*0.6+F135*0.4)&gt;5.5, 5.2, (E135*0.6+F135*0.4)))</f>
        <v/>
      </c>
      <c r="H135" s="15" t="inlineStr">
        <is>
          <t>ROCKIES</t>
        </is>
      </c>
      <c r="I135">
        <f>VLOOKUP(H135, 'MLB Data'!$B$5:$D$34, 3, FALSE)</f>
        <v/>
      </c>
      <c r="J135" s="16" t="inlineStr">
        <is>
          <t>SUGANO</t>
        </is>
      </c>
      <c r="K135" s="17" t="n">
        <v>5.3</v>
      </c>
      <c r="L135" s="17">
        <f>VLOOKUP(H135, 'MLB Data'!$F$2:$H$34, 3, FALSE)</f>
        <v/>
      </c>
      <c r="M135" s="17">
        <f>IF((K135*0.6+L135*0.4)&lt;2.5, 2.8, IF((K135*0.6+L135*0.4)&gt;5.5, 5.2, (K135*0.6+L135*0.4)))</f>
        <v/>
      </c>
      <c r="O135" s="18">
        <f>(C135/100) * 4.45 * (M135 / 4.2) * T135</f>
        <v/>
      </c>
      <c r="P135" s="18">
        <f>(I135/100) * 4.45 * (G135 / 4.2) * T135</f>
        <v/>
      </c>
      <c r="Q135" s="18" t="inlineStr">
        <is>
          <t xml:space="preserve"> </t>
        </is>
      </c>
      <c r="S135" s="15">
        <f>H135</f>
        <v/>
      </c>
      <c r="T135" s="19">
        <f>IF(S135="ROCKIES",1.13,IF(S135="ATHLETICS",1.03,IF(S135="ROYALS",1.03,IF(S135="TWINS",1,IF(S135="TIGERS",1,IF(S135="MARLINS",1.01,IF(S135="REDS",1.05,IF(S135="RED SOX",1.04,IF(S135="YANKEES",1.02,IF(S135="DODGERS",0.99,IF(S135="PADRES",0.96,IF(S135="CUBS",0.98,IF(S135="GIANTS",0.97,IF(S135="MARINERS",0.94,IF(S135="RANGERS",1,IF(S135="ASTROS",0.99,IF(S135="BRAVES",1,IF(S135="METS",0.96,IF(S135="PHILLIES",1.02,IF(S135="BLUE JAYS",1.01,IF(S135="ORIOLES",0.99,IF(S135="RAYS",1.01,IF(S135="GUARDIANS",0.99,IF(S135="WHITE SOX",0.98,IF(S135="ANGELS",1.01,IF(S135="D-BACKS",1.01,IF(S135="BREWERS",0.99,IF(S135="CARDINALS",0.96,IF(S135="PIRATES",1.02,IF(S135="NATIONALS",1,1))))))))))))))))))))))))))))))*IF(W135="",1,(1+((W135-70)/10*0.035)))*IF(U135="DOME",1,IF(U135="IN",1-(V135*0.01),IF(U135="OUT",1+(V135*0.01),IF(OR(U135="L-R",U135="R-L"),1+(V135*0.005),1))))</f>
        <v/>
      </c>
      <c r="U135" s="15" t="inlineStr">
        <is>
          <t>L-R</t>
        </is>
      </c>
      <c r="V135" s="15" t="n"/>
      <c r="W135" s="15" t="n">
        <v>64</v>
      </c>
      <c r="Y135" s="25">
        <f>B135 &amp; " vs. " &amp; H135</f>
        <v/>
      </c>
      <c r="Z135" s="25">
        <f>TRIM(LEFT(Y135, FIND("vs.", Y135)-1))</f>
        <v/>
      </c>
      <c r="AA135" s="25">
        <f>TRIM(MID(Y135, FIND(" vs. ", Y135)+4, 100))</f>
        <v/>
      </c>
      <c r="AB135" s="25">
        <f>IF(Q135 &gt; VALUE(AC135), "O " &amp; AC135, IF(Q135 &lt; VALUE(AC135), "U " &amp; AC135, AC135))</f>
        <v/>
      </c>
      <c r="AC135" s="26">
        <f>IF(OR(O135="-", P135="-"), "-", MROUND(O135 + P135, 0.5))</f>
        <v/>
      </c>
      <c r="AD135" s="26">
        <f>VALUE(TRIM(RIGHT(AF135, LEN(AF135) - FIND(" ", AF135))))</f>
        <v/>
      </c>
      <c r="AE135" s="26">
        <f>LEFT(AF135,FIND(" ",AF135)-1)</f>
        <v/>
      </c>
      <c r="AF135" s="26">
        <f>IF(OR(O135="-", P135="-"), "-",
IF(MROUND(ABS(O135-P135),0.5)&lt;=0.5,
IF(O135&gt;P135, B135 &amp; " ML", H135 &amp; " ML"),
IF(MROUND(ABS(O135-P135),0.5)=1,
IF(O135&gt;P135, H135 &amp; " +1.5", B135 &amp; " +1.5"),
IF(O135&gt;P135, B135 &amp; " -1.5", H135 &amp; " -1.5")
)
)
)</f>
        <v/>
      </c>
      <c r="AG135" s="26">
        <f>_xlfn.LET(
_xlpm.winA, O135^1.83 / (O135^1.83 + P135^1.83),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36">
      <c r="A136" s="14" t="n">
        <v>46117</v>
      </c>
      <c r="B136" s="15" t="inlineStr">
        <is>
          <t>ASTROS</t>
        </is>
      </c>
      <c r="C136">
        <f>VLOOKUP(B136, 'MLB Data'!$B$5:$D$34, 3, FALSE)</f>
        <v/>
      </c>
      <c r="D136" s="16" t="inlineStr">
        <is>
          <t>MCCULLERS</t>
        </is>
      </c>
      <c r="E136" s="17" t="n">
        <v>4.44</v>
      </c>
      <c r="F136" s="17">
        <f>VLOOKUP(B137, 'MLB Data'!$F$2:$H$34, 3, FALSE)</f>
        <v/>
      </c>
      <c r="G136" s="17">
        <f>IF((E136*0.6+F136*0.4)&lt;2.5, 2.8, IF((E136*0.6+F136*0.4)&gt;5.5, 5.2, (E136*0.6+F136*0.4)))</f>
        <v/>
      </c>
      <c r="H136" s="15" t="inlineStr">
        <is>
          <t>ATHLETICS</t>
        </is>
      </c>
      <c r="I136">
        <f>VLOOKUP(H136, 'MLB Data'!$B$5:$D$34, 3, FALSE)</f>
        <v/>
      </c>
      <c r="J136" s="16" t="inlineStr">
        <is>
          <t>J. LOPEZ</t>
        </is>
      </c>
      <c r="K136" s="17" t="n">
        <v>4.57</v>
      </c>
      <c r="L136" s="17">
        <f>VLOOKUP(H136, 'MLB Data'!$F$2:$H$34, 3, FALSE)</f>
        <v/>
      </c>
      <c r="M136" s="17">
        <f>IF((K136*0.6+L136*0.4)&lt;2.5, 2.8, IF((K136*0.6+L136*0.4)&gt;5.5, 5.2, (K136*0.6+L136*0.4)))</f>
        <v/>
      </c>
      <c r="O136" s="18">
        <f>(C136/100) * 4.45 * (M136 / 4.2) * T136</f>
        <v/>
      </c>
      <c r="P136" s="18">
        <f>(I136/100) * 4.45 * (G136 / 4.2) * T136</f>
        <v/>
      </c>
      <c r="Q136" s="18">
        <f>(O136+P136)</f>
        <v/>
      </c>
      <c r="S136" s="15">
        <f>H136</f>
        <v/>
      </c>
      <c r="T136" s="19">
        <f>IF(S136="ROCKIES",1.13,IF(S136="ATHLETICS",1.03,IF(S136="ROYALS",1.03,IF(S136="TWINS",1,IF(S136="TIGERS",1,IF(S136="MARLINS",1.01,IF(S136="REDS",1.05,IF(S136="RED SOX",1.04,IF(S136="YANKEES",1.02,IF(S136="DODGERS",0.99,IF(S136="PADRES",0.96,IF(S136="CUBS",0.98,IF(S136="GIANTS",0.97,IF(S136="MARINERS",0.94,IF(S136="RANGERS",1,IF(S136="ASTROS",0.99,IF(S136="BRAVES",1,IF(S136="METS",0.96,IF(S136="PHILLIES",1.02,IF(S136="BLUE JAYS",1.01,IF(S136="ORIOLES",0.99,IF(S136="RAYS",1.01,IF(S136="GUARDIANS",0.99,IF(S136="WHITE SOX",0.98,IF(S136="ANGELS",1.01,IF(S136="D-BACKS",1.01,IF(S136="BREWERS",0.99,IF(S136="CARDINALS",0.96,IF(S136="PIRATES",1.02,IF(S136="NATIONALS",1,1))))))))))))))))))))))))))))))*IF(W136="",1,(1+((W136-70)/10*0.035)))*IF(U136="DOME",1,IF(U136="IN",1-(V136*0.01),IF(U136="OUT",1+(V136*0.01),IF(OR(U136="L-R",U136="R-L"),1+(V136*0.005),1))))</f>
        <v/>
      </c>
      <c r="U136" s="15" t="inlineStr">
        <is>
          <t>R-L</t>
        </is>
      </c>
      <c r="V136" s="15" t="n"/>
      <c r="W136" s="15" t="n">
        <v>81</v>
      </c>
      <c r="Y136">
        <f>B136 &amp; " vs. " &amp; H136</f>
        <v/>
      </c>
      <c r="Z136">
        <f>TRIM(LEFT(Y136, FIND("vs.", Y136)-1))</f>
        <v/>
      </c>
      <c r="AA136">
        <f>TRIM(MID(Y136, FIND(" vs. ", Y136)+4, 100))</f>
        <v/>
      </c>
      <c r="AB136">
        <f>IF(Q136 &gt; VALUE(AC136), "O " &amp; AC136, IF(Q136 &lt; VALUE(AC136), "U " &amp; AC136, AC136))</f>
        <v/>
      </c>
      <c r="AC136" s="15">
        <f>IF(OR(O136="-", P136="-"), "-", MROUND(O136 + P136, 0.5))</f>
        <v/>
      </c>
      <c r="AD136" s="15">
        <f>VALUE(TRIM(RIGHT(AF136, LEN(AF136) - FIND(" ", AF136))))</f>
        <v/>
      </c>
      <c r="AE136" s="15">
        <f>LEFT(AF136,FIND(" ",AF136)-1)</f>
        <v/>
      </c>
      <c r="AF136" s="15">
        <f>IF(OR(O136="-", P136="-"), "-",
IF(MROUND(ABS(O136-P136),0.5)&lt;=0.5,
IF(O136&gt;P136, B136 &amp; " ML", H136 &amp; " ML"),
IF(MROUND(ABS(O136-P136),0.5)=1,
IF(O136&gt;P136, H136 &amp; " +1.5", B136 &amp; " +1.5"),
IF(O136&gt;P136, B136 &amp; " -1.5", H136 &amp; " -1.5")
)
)
)</f>
        <v/>
      </c>
      <c r="AG136" s="15">
        <f>_xlfn.LET(
_xlpm.winA, O136^1.83 / (O136^1.83 + P136^1.83),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37">
      <c r="A137" s="14" t="n">
        <v>46117</v>
      </c>
      <c r="B137" s="15" t="inlineStr">
        <is>
          <t>METS</t>
        </is>
      </c>
      <c r="C137">
        <f>VLOOKUP(B137, 'MLB Data'!$B$5:$D$34, 3, FALSE)</f>
        <v/>
      </c>
      <c r="D137" s="16" t="inlineStr">
        <is>
          <t>SENGA</t>
        </is>
      </c>
      <c r="E137" s="17" t="n">
        <v>4.23</v>
      </c>
      <c r="F137" s="17">
        <f>VLOOKUP(B138, 'MLB Data'!$F$2:$H$34, 3, FALSE)</f>
        <v/>
      </c>
      <c r="G137" s="17">
        <f>IF((E137*0.6+F137*0.4)&lt;2.5, 2.8, IF((E137*0.6+F137*0.4)&gt;5.5, 5.2, (E137*0.6+F137*0.4)))</f>
        <v/>
      </c>
      <c r="H137" s="15" t="inlineStr">
        <is>
          <t>GIANTS</t>
        </is>
      </c>
      <c r="I137">
        <f>VLOOKUP(H137, 'MLB Data'!$B$5:$D$34, 3, FALSE)</f>
        <v/>
      </c>
      <c r="J137" s="16" t="inlineStr">
        <is>
          <t>WEBB</t>
        </is>
      </c>
      <c r="K137" s="17" t="n">
        <v>3</v>
      </c>
      <c r="L137" s="17">
        <f>VLOOKUP(H137, 'MLB Data'!$F$2:$H$34, 3, FALSE)</f>
        <v/>
      </c>
      <c r="M137" s="17">
        <f>IF((K137*0.6+L137*0.4)&lt;2.5, 2.8, IF((K137*0.6+L137*0.4)&gt;5.5, 5.2, (K137*0.6+L137*0.4)))</f>
        <v/>
      </c>
      <c r="O137" s="18">
        <f>(C137/100) * 4.45 * (M137 / 4.2) * T137</f>
        <v/>
      </c>
      <c r="P137" s="18">
        <f>(I137/100) * 4.45 * (G137 / 4.2) * T137</f>
        <v/>
      </c>
      <c r="Q137" s="18">
        <f>(O137+P137)</f>
        <v/>
      </c>
      <c r="S137" s="15">
        <f>H137</f>
        <v/>
      </c>
      <c r="T137" s="19">
        <f>IF(S137="ROCKIES",1.13,IF(S137="ATHLETICS",1.03,IF(S137="ROYALS",1.03,IF(S137="TWINS",1,IF(S137="TIGERS",1,IF(S137="MARLINS",1.01,IF(S137="REDS",1.05,IF(S137="RED SOX",1.04,IF(S137="YANKEES",1.02,IF(S137="DODGERS",0.99,IF(S137="PADRES",0.96,IF(S137="CUBS",0.98,IF(S137="GIANTS",0.97,IF(S137="MARINERS",0.94,IF(S137="RANGERS",1,IF(S137="ASTROS",0.99,IF(S137="BRAVES",1,IF(S137="METS",0.96,IF(S137="PHILLIES",1.02,IF(S137="BLUE JAYS",1.01,IF(S137="ORIOLES",0.99,IF(S137="RAYS",1.01,IF(S137="GUARDIANS",0.99,IF(S137="WHITE SOX",0.98,IF(S137="ANGELS",1.01,IF(S137="D-BACKS",1.01,IF(S137="BREWERS",0.99,IF(S137="CARDINALS",0.96,IF(S137="PIRATES",1.02,IF(S137="NATIONALS",1,1))))))))))))))))))))))))))))))*IF(W137="",1,(1+((W137-70)/10*0.035)))*IF(U137="DOME",1,IF(U137="IN",1-(V137*0.01),IF(U137="OUT",1+(V137*0.01),IF(OR(U137="L-R",U137="R-L"),1+(V137*0.005),1))))</f>
        <v/>
      </c>
      <c r="U137" s="15" t="inlineStr">
        <is>
          <t>OUT</t>
        </is>
      </c>
      <c r="V137" s="15" t="n"/>
      <c r="W137" s="15" t="n">
        <v>71</v>
      </c>
      <c r="Y137">
        <f>B137 &amp; " vs. " &amp; H137</f>
        <v/>
      </c>
      <c r="Z137">
        <f>TRIM(LEFT(Y137, FIND("vs.", Y137)-1))</f>
        <v/>
      </c>
      <c r="AA137">
        <f>TRIM(MID(Y137, FIND(" vs. ", Y137)+4, 100))</f>
        <v/>
      </c>
      <c r="AB137">
        <f>IF(Q137 &gt; VALUE(AC137), "O " &amp; AC137, IF(Q137 &lt; VALUE(AC137), "U " &amp; AC137, AC137))</f>
        <v/>
      </c>
      <c r="AC137" s="15">
        <f>IF(OR(O137="-", P137="-"), "-", MROUND(O137 + P137, 0.5))</f>
        <v/>
      </c>
      <c r="AD137" s="15">
        <f>VALUE(TRIM(RIGHT(AF137, LEN(AF137) - FIND(" ", AF137))))</f>
        <v/>
      </c>
      <c r="AE137" s="15">
        <f>LEFT(AF137,FIND(" ",AF137)-1)</f>
        <v/>
      </c>
      <c r="AF137" s="15">
        <f>IF(OR(O137="-", P137="-"), "-",
IF(MROUND(ABS(O137-P137),0.5)&lt;=0.5,
IF(O137&gt;P137, B137 &amp; " ML", H137 &amp; " ML"),
IF(MROUND(ABS(O137-P137),0.5)=1,
IF(O137&gt;P137, H137 &amp; " +1.5", B137 &amp; " +1.5"),
IF(O137&gt;P137, B137 &amp; " -1.5", H137 &amp; " -1.5")
)
)
)</f>
        <v/>
      </c>
      <c r="AG137" s="15">
        <f>_xlfn.LET(
_xlpm.winA, O137^1.83 / (O137^1.83 + P137^1.83),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38">
      <c r="A138" s="14" t="n">
        <v>46117</v>
      </c>
      <c r="B138" s="15" t="inlineStr">
        <is>
          <t>MARINERS</t>
        </is>
      </c>
      <c r="C138">
        <f>VLOOKUP(B138, 'MLB Data'!$B$5:$D$34, 3, FALSE)</f>
        <v/>
      </c>
      <c r="D138" s="16" t="inlineStr">
        <is>
          <t>L. CASTILLO</t>
        </is>
      </c>
      <c r="E138" s="17" t="n">
        <v>4.46</v>
      </c>
      <c r="F138" s="17">
        <f>VLOOKUP(B139, 'MLB Data'!$F$2:$H$34, 3, FALSE)</f>
        <v/>
      </c>
      <c r="G138" s="17">
        <f>IF((E138*0.6+F138*0.4)&lt;2.5, 2.8, IF((E138*0.6+F138*0.4)&gt;5.5, 5.2, (E138*0.6+F138*0.4)))</f>
        <v/>
      </c>
      <c r="H138" s="15" t="inlineStr">
        <is>
          <t>ANGELS</t>
        </is>
      </c>
      <c r="I138">
        <f>VLOOKUP(H138, 'MLB Data'!$B$5:$D$34, 3, FALSE)</f>
        <v/>
      </c>
      <c r="J138" s="16" t="inlineStr">
        <is>
          <t>KLASSEN</t>
        </is>
      </c>
      <c r="K138" s="17" t="n">
        <v>4.67</v>
      </c>
      <c r="L138" s="17">
        <f>VLOOKUP(H138, 'MLB Data'!$F$2:$H$34, 3, FALSE)</f>
        <v/>
      </c>
      <c r="M138" s="17">
        <f>IF((K139*0.6+L138*0.4)&lt;2.5, 2.8, IF((K139*0.6+L138*0.4)&gt;5.5, 5.2, (K139*0.6+L138*0.4)))</f>
        <v/>
      </c>
      <c r="O138" s="18">
        <f>(C138/100) * 4.45 * (M138 / 4.2) * T138</f>
        <v/>
      </c>
      <c r="P138" s="18">
        <f>(I138/100) * 4.45 * (G138 / 4.2) * T138</f>
        <v/>
      </c>
      <c r="Q138" s="18">
        <f>(O138+P138)</f>
        <v/>
      </c>
      <c r="S138" s="15">
        <f>H138</f>
        <v/>
      </c>
      <c r="T138" s="19">
        <f>IF(S138="ROCKIES",1.13,IF(S138="ATHLETICS",1.03,IF(S138="ROYALS",1.03,IF(S138="TWINS",1,IF(S138="TIGERS",1,IF(S138="MARLINS",1.01,IF(S138="REDS",1.05,IF(S138="RED SOX",1.04,IF(S138="YANKEES",1.02,IF(S138="DODGERS",0.99,IF(S138="PADRES",0.96,IF(S138="CUBS",0.98,IF(S138="GIANTS",0.97,IF(S138="MARINERS",0.94,IF(S138="RANGERS",1,IF(S138="ASTROS",0.99,IF(S138="BRAVES",1,IF(S138="METS",0.96,IF(S138="PHILLIES",1.02,IF(S138="BLUE JAYS",1.01,IF(S138="ORIOLES",0.99,IF(S138="RAYS",1.01,IF(S138="GUARDIANS",0.99,IF(S138="WHITE SOX",0.98,IF(S138="ANGELS",1.01,IF(S138="D-BACKS",1.01,IF(S138="BREWERS",0.99,IF(S138="CARDINALS",0.96,IF(S138="PIRATES",1.02,IF(S138="NATIONALS",1,1))))))))))))))))))))))))))))))*IF(W138="",1,(1+((W138-70)/10*0.035)))*IF(U138="DOME",1,IF(U138="IN",1-(V138*0.01),IF(U138="OUT",1+(V138*0.01),IF(OR(U138="L-R",U138="R-L"),1+(V138*0.005),1))))</f>
        <v/>
      </c>
      <c r="U138" s="15" t="inlineStr">
        <is>
          <t>OUT</t>
        </is>
      </c>
      <c r="V138" s="15" t="n"/>
      <c r="W138" s="15" t="n">
        <v>81</v>
      </c>
      <c r="Y138">
        <f>B138 &amp; " vs. " &amp; H138</f>
        <v/>
      </c>
      <c r="Z138">
        <f>TRIM(LEFT(Y138, FIND("vs.", Y138)-1))</f>
        <v/>
      </c>
      <c r="AA138">
        <f>TRIM(MID(Y138, FIND(" vs. ", Y138)+4, 100))</f>
        <v/>
      </c>
      <c r="AB138">
        <f>IF(Q138 &gt; VALUE(AC138), "O " &amp; AC138, IF(Q138 &lt; VALUE(AC138), "U " &amp; AC138, AC138))</f>
        <v/>
      </c>
      <c r="AC138" s="15">
        <f>IF(OR(O138="-", P138="-"), "-", MROUND(O138 + P138, 0.5))</f>
        <v/>
      </c>
      <c r="AD138" s="15">
        <f>VALUE(TRIM(RIGHT(AF138, LEN(AF138) - FIND(" ", AF138))))</f>
        <v/>
      </c>
      <c r="AE138" s="15">
        <f>LEFT(AF138,FIND(" ",AF138)-1)</f>
        <v/>
      </c>
      <c r="AF138" s="15">
        <f>IF(OR(O138="-", P138="-"), "-",
IF(MROUND(ABS(O138-P138),0.5)&lt;=0.5,
IF(O138&gt;P138, B138 &amp; " ML", H138 &amp; " ML"),
IF(MROUND(ABS(O138-P138),0.5)=1,
IF(O138&gt;P138, H138 &amp; " +1.5", B138 &amp; " +1.5"),
IF(O138&gt;P138, B138 &amp; " -1.5", H138 &amp; " -1.5")
)
)
)</f>
        <v/>
      </c>
      <c r="AG138" s="15">
        <f>_xlfn.LET(
_xlpm.winA, O138^1.83 / (O138^1.83 + P138^1.83),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39">
      <c r="A139" s="14" t="n">
        <v>46117</v>
      </c>
      <c r="B139" s="15" t="inlineStr">
        <is>
          <t>BRAVES</t>
        </is>
      </c>
      <c r="C139">
        <f>VLOOKUP(B139, 'MLB Data'!$B$5:$D$34, 3, FALSE)</f>
        <v/>
      </c>
      <c r="D139" s="16" t="inlineStr">
        <is>
          <t>M. PEREZ</t>
        </is>
      </c>
      <c r="E139" s="17" t="n">
        <v>4.88</v>
      </c>
      <c r="F139" s="17">
        <f>VLOOKUP(B140, 'MLB Data'!$F$2:$H$34, 3, FALSE)</f>
        <v/>
      </c>
      <c r="G139" s="17">
        <f>IF((E139*0.6+F139*0.4)&lt;2.5, 2.8, IF((E139*0.6+F139*0.4)&gt;5.5, 5.2, (E139*0.6+F139*0.4)))</f>
        <v/>
      </c>
      <c r="H139" s="15" t="inlineStr">
        <is>
          <t>D-BACKS</t>
        </is>
      </c>
      <c r="I139">
        <f>VLOOKUP(H139, 'MLB Data'!$B$5:$D$34, 3, FALSE)</f>
        <v/>
      </c>
      <c r="J139" s="16" t="inlineStr">
        <is>
          <t>PFAADT</t>
        </is>
      </c>
      <c r="K139" s="17" t="n">
        <v>4.31</v>
      </c>
      <c r="L139" s="17">
        <f>VLOOKUP(H139, 'MLB Data'!$F$2:$H$34, 3, FALSE)</f>
        <v/>
      </c>
      <c r="M139" s="17">
        <f>IF((K139*0.6+L139*0.4)&lt;2.5, 2.8, IF((K139*0.6+L139*0.4)&gt;5.5, 5.2, (K139*0.6+L139*0.4)))</f>
        <v/>
      </c>
      <c r="O139" s="18">
        <f>(C139/100) * 4.45 * (M139 / 4.2) * T139</f>
        <v/>
      </c>
      <c r="P139" s="18">
        <f>(I139/100) * 4.45 * (G139 / 4.2) * T139</f>
        <v/>
      </c>
      <c r="Q139" s="18">
        <f>(O139+P139)</f>
        <v/>
      </c>
      <c r="S139" s="15">
        <f>H139</f>
        <v/>
      </c>
      <c r="T139" s="19">
        <f>IF(S139="ROCKIES",1.13,IF(S139="ATHLETICS",1.03,IF(S139="ROYALS",1.03,IF(S139="TWINS",1,IF(S139="TIGERS",1,IF(S139="MARLINS",1.01,IF(S139="REDS",1.05,IF(S139="RED SOX",1.04,IF(S139="YANKEES",1.02,IF(S139="DODGERS",0.99,IF(S139="PADRES",0.96,IF(S139="CUBS",0.98,IF(S139="GIANTS",0.97,IF(S139="MARINERS",0.94,IF(S139="RANGERS",1,IF(S139="ASTROS",0.99,IF(S139="BRAVES",1,IF(S139="METS",0.96,IF(S139="PHILLIES",1.02,IF(S139="BLUE JAYS",1.01,IF(S139="ORIOLES",0.99,IF(S139="RAYS",1.01,IF(S139="GUARDIANS",0.99,IF(S139="WHITE SOX",0.98,IF(S139="ANGELS",1.01,IF(S139="D-BACKS",1.01,IF(S139="BREWERS",0.99,IF(S139="CARDINALS",0.96,IF(S139="PIRATES",1.02,IF(S139="NATIONALS",1,1))))))))))))))))))))))))))))))*IF(W139="",1,(1+((W139-70)/10*0.035)))*IF(U139="DOME",1,IF(U139="IN",1-(V139*0.01),IF(U139="OUT",1+(V139*0.01),IF(OR(U139="L-R",U139="R-L"),1+(V139*0.005),1))))</f>
        <v/>
      </c>
      <c r="U139" s="15" t="inlineStr">
        <is>
          <t>DOME</t>
        </is>
      </c>
      <c r="V139" s="15" t="n"/>
      <c r="W139" s="15" t="n">
        <v>93</v>
      </c>
      <c r="Y139">
        <f>B139 &amp; " vs. " &amp; H139</f>
        <v/>
      </c>
      <c r="Z139">
        <f>TRIM(LEFT(Y139, FIND("vs.", Y139)-1))</f>
        <v/>
      </c>
      <c r="AA139">
        <f>TRIM(MID(Y139, FIND(" vs. ", Y139)+4, 100))</f>
        <v/>
      </c>
      <c r="AB139">
        <f>IF(Q139 &gt; VALUE(AC139), "O " &amp; AC139, IF(Q139 &lt; VALUE(AC139), "U " &amp; AC139, AC139))</f>
        <v/>
      </c>
      <c r="AC139" s="15">
        <f>IF(OR(O139="-", P139="-"), "-", MROUND(O139 + P139, 0.5))</f>
        <v/>
      </c>
      <c r="AD139" s="15">
        <f>VALUE(TRIM(RIGHT(AF139, LEN(AF139) - FIND(" ", AF139))))</f>
        <v/>
      </c>
      <c r="AE139" s="15">
        <f>LEFT(AF139,FIND(" ",AF139)-1)</f>
        <v/>
      </c>
      <c r="AF139" s="15">
        <f>IF(OR(O139="-", P139="-"), "-",
IF(MROUND(ABS(O139-P139),0.5)&lt;=0.5,
IF(O139&gt;P139, B139 &amp; " ML", H139 &amp; " ML"),
IF(MROUND(ABS(O139-P139),0.5)=1,
IF(O139&gt;P139, H139 &amp; " +1.5", B139 &amp; " +1.5"),
IF(O139&gt;P139, B139 &amp; " -1.5", H139 &amp; " -1.5")
)
)
)</f>
        <v/>
      </c>
      <c r="AG139" s="15">
        <f>_xlfn.LET(
_xlpm.winA, O139^1.83 / (O139^1.83 + P139^1.83),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40">
      <c r="A140" s="14" t="n">
        <v>46117</v>
      </c>
      <c r="B140" s="15" t="inlineStr">
        <is>
          <t>CARDINALS</t>
        </is>
      </c>
      <c r="C140">
        <f>VLOOKUP(B140, 'MLB Data'!$B$5:$D$34, 3, FALSE)</f>
        <v/>
      </c>
      <c r="D140" s="16" t="inlineStr">
        <is>
          <t>LEAHY</t>
        </is>
      </c>
      <c r="E140" s="17" t="n">
        <v>4.17</v>
      </c>
      <c r="F140" s="17">
        <f>VLOOKUP(B141, 'MLB Data'!$F$2:$H$34, 3, FALSE)</f>
        <v/>
      </c>
      <c r="G140" s="17">
        <f>IF((E140*0.6+F140*0.4)&lt;2.5, 2.8, IF((E140*0.6+F140*0.4)&gt;5.5, 5.2, (E140*0.6+F140*0.4)))</f>
        <v/>
      </c>
      <c r="H140" s="15" t="inlineStr">
        <is>
          <t>TIGERS</t>
        </is>
      </c>
      <c r="I140">
        <f>VLOOKUP(H140, 'MLB Data'!$B$5:$D$34, 3, FALSE)</f>
        <v/>
      </c>
      <c r="J140" s="16" t="inlineStr">
        <is>
          <t>MONTERO</t>
        </is>
      </c>
      <c r="K140" s="17" t="n">
        <v>4.7</v>
      </c>
      <c r="L140" s="17">
        <f>VLOOKUP(H140, 'MLB Data'!$F$2:$H$34, 3, FALSE)</f>
        <v/>
      </c>
      <c r="M140" s="17">
        <f>IF((K140*0.6+L140*0.4)&lt;2.5, 2.8, IF((K140*0.6+L140*0.4)&gt;5.5, 5.2, (K140*0.6+L140*0.4)))</f>
        <v/>
      </c>
      <c r="O140" s="18">
        <f>(C140/100) * 4.45 * (M140 / 4.2) * T140</f>
        <v/>
      </c>
      <c r="P140" s="18">
        <f>(I140/100) * 4.45 * (G140 / 4.2) * T140</f>
        <v/>
      </c>
      <c r="Q140" s="18">
        <f>(O140+P140)</f>
        <v/>
      </c>
      <c r="S140" s="15">
        <f>H140</f>
        <v/>
      </c>
      <c r="T140" s="19">
        <f>IF(S140="ROCKIES",1.13,IF(S140="ATHLETICS",1.03,IF(S140="ROYALS",1.03,IF(S140="TWINS",1,IF(S140="TIGERS",1,IF(S140="MARLINS",1.01,IF(S140="REDS",1.05,IF(S140="RED SOX",1.04,IF(S140="YANKEES",1.02,IF(S140="DODGERS",0.99,IF(S140="PADRES",0.96,IF(S140="CUBS",0.98,IF(S140="GIANTS",0.97,IF(S140="MARINERS",0.94,IF(S140="RANGERS",1,IF(S140="ASTROS",0.99,IF(S140="BRAVES",1,IF(S140="METS",0.96,IF(S140="PHILLIES",1.02,IF(S140="BLUE JAYS",1.01,IF(S140="ORIOLES",0.99,IF(S140="RAYS",1.01,IF(S140="GUARDIANS",0.99,IF(S140="WHITE SOX",0.98,IF(S140="ANGELS",1.01,IF(S140="D-BACKS",1.01,IF(S140="BREWERS",0.99,IF(S140="CARDINALS",0.96,IF(S140="PIRATES",1.02,IF(S140="NATIONALS",1,1))))))))))))))))))))))))))))))*IF(W140="",1,(1+((W140-70)/10*0.035)))*IF(U140="DOME",1,IF(U140="IN",1-(V140*0.01),IF(U140="OUT",1+(V140*0.01),IF(OR(U140="L-R",U140="R-L"),1+(V140*0.005),1))))</f>
        <v/>
      </c>
      <c r="U140" s="15" t="inlineStr">
        <is>
          <t>OUT</t>
        </is>
      </c>
      <c r="V140" s="15" t="n"/>
      <c r="W140" s="15" t="n">
        <v>38</v>
      </c>
      <c r="Y140">
        <f>B140 &amp; " vs. " &amp; H140</f>
        <v/>
      </c>
      <c r="Z140">
        <f>TRIM(LEFT(Y140, FIND("vs.", Y140)-1))</f>
        <v/>
      </c>
      <c r="AA140">
        <f>TRIM(MID(Y140, FIND(" vs. ", Y140)+4, 100))</f>
        <v/>
      </c>
      <c r="AB140">
        <f>IF(Q140 &gt; VALUE(AC140), "O " &amp; AC140, IF(Q140 &lt; VALUE(AC140), "U " &amp; AC140, AC140))</f>
        <v/>
      </c>
      <c r="AC140" s="15">
        <f>IF(OR(O140="-", P140="-"), "-", MROUND(O140 + P140, 0.5))</f>
        <v/>
      </c>
      <c r="AD140" s="15">
        <f>VALUE(TRIM(RIGHT(AF140, LEN(AF140) - FIND(" ", AF140))))</f>
        <v/>
      </c>
      <c r="AE140" s="15">
        <f>LEFT(AF140,FIND(" ",AF140)-1)</f>
        <v/>
      </c>
      <c r="AF140" s="15">
        <f>IF(OR(O140="-", P140="-"), "-",
IF(MROUND(ABS(O140-P140),0.5)&lt;=0.5,
IF(O140&gt;P140, B140 &amp; " ML", H140 &amp; " ML"),
IF(MROUND(ABS(O140-P140),0.5)=1,
IF(O140&gt;P140, H140 &amp; " +1.5", B140 &amp; " +1.5"),
IF(O140&gt;P140, B140 &amp; " -1.5", H140 &amp; " -1.5")
)
)
)</f>
        <v/>
      </c>
      <c r="AG140" s="15">
        <f>_xlfn.LET(
_xlpm.winA, O140^1.83 / (O140^1.83 + P140^1.83),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41">
      <c r="A141" s="14" t="n">
        <v>46117</v>
      </c>
      <c r="B141" s="15" t="inlineStr">
        <is>
          <t>CUBS</t>
        </is>
      </c>
      <c r="C141">
        <f>VLOOKUP(B141, 'MLB Data'!$B$5:$D$34, 3, FALSE)</f>
        <v/>
      </c>
      <c r="D141" s="16" t="inlineStr">
        <is>
          <t>E. CABRERA</t>
        </is>
      </c>
      <c r="E141" s="17" t="n">
        <v>3.72</v>
      </c>
      <c r="F141" s="17">
        <f>VLOOKUP(B142, 'MLB Data'!$F$2:$H$34, 3, FALSE)</f>
        <v/>
      </c>
      <c r="G141" s="17">
        <f>IF((E141*0.6+F141*0.4)&lt;2.5, 2.8, IF((E141*0.6+F141*0.4)&gt;5.5, 5.2, (E141*0.6+F141*0.4)))</f>
        <v/>
      </c>
      <c r="H141" s="15" t="inlineStr">
        <is>
          <t>GUARDIANS</t>
        </is>
      </c>
      <c r="I141">
        <f>VLOOKUP(H141, 'MLB Data'!$B$5:$D$34, 3, FALSE)</f>
        <v/>
      </c>
      <c r="J141" s="16" t="inlineStr">
        <is>
          <t>CECCONI</t>
        </is>
      </c>
      <c r="K141" s="17" t="n">
        <v>4.68</v>
      </c>
      <c r="L141" s="17">
        <f>VLOOKUP(H141, 'MLB Data'!$F$2:$H$34, 3, FALSE)</f>
        <v/>
      </c>
      <c r="M141" s="17">
        <f>IF((K141*0.6+L141*0.4)&lt;2.5, 2.8, IF((K141*0.6+L141*0.4)&gt;5.5, 5.2, (K141*0.6+L141*0.4)))</f>
        <v/>
      </c>
      <c r="O141" s="18">
        <f>(C141/100) * 4.45 * (M141 / 4.2) * T141</f>
        <v/>
      </c>
      <c r="P141" s="18">
        <f>(I141/100) * 4.45 * (G141 / 4.2) * T141</f>
        <v/>
      </c>
      <c r="Q141" s="18">
        <f>(O141+P141)</f>
        <v/>
      </c>
      <c r="S141" s="15">
        <f>H141</f>
        <v/>
      </c>
      <c r="T141" s="19">
        <f>IF(S141="ROCKIES",1.13,IF(S141="ATHLETICS",1.03,IF(S141="ROYALS",1.03,IF(S141="TWINS",1,IF(S141="TIGERS",1,IF(S141="MARLINS",1.01,IF(S141="REDS",1.05,IF(S141="RED SOX",1.04,IF(S141="YANKEES",1.02,IF(S141="DODGERS",0.99,IF(S141="PADRES",0.96,IF(S141="CUBS",0.98,IF(S141="GIANTS",0.97,IF(S141="MARINERS",0.94,IF(S141="RANGERS",1,IF(S141="ASTROS",0.99,IF(S141="BRAVES",1,IF(S141="METS",0.96,IF(S141="PHILLIES",1.02,IF(S141="BLUE JAYS",1.01,IF(S141="ORIOLES",0.99,IF(S141="RAYS",1.01,IF(S141="GUARDIANS",0.99,IF(S141="WHITE SOX",0.98,IF(S141="ANGELS",1.01,IF(S141="D-BACKS",1.01,IF(S141="BREWERS",0.99,IF(S141="CARDINALS",0.96,IF(S141="PIRATES",1.02,IF(S141="NATIONALS",1,1))))))))))))))))))))))))))))))*IF(W141="",1,(1+((W141-70)/10*0.035)))*IF(U141="DOME",1,IF(U141="IN",1-(V141*0.01),IF(U141="OUT",1+(V141*0.01),IF(OR(U141="L-R",U141="R-L"),1+(V141*0.005),1))))</f>
        <v/>
      </c>
      <c r="U141" s="15" t="inlineStr">
        <is>
          <t>L-R</t>
        </is>
      </c>
      <c r="V141" s="15" t="n"/>
      <c r="W141" s="15" t="n">
        <v>46</v>
      </c>
      <c r="Y141" s="25">
        <f>B141 &amp; " vs. " &amp; H141</f>
        <v/>
      </c>
      <c r="Z141" s="25">
        <f>TRIM(LEFT(Y141, FIND("vs.", Y141)-1))</f>
        <v/>
      </c>
      <c r="AA141" s="25">
        <f>TRIM(MID(Y141, FIND(" vs. ", Y141)+4, 100))</f>
        <v/>
      </c>
      <c r="AB141" s="25">
        <f>IF(Q141 &gt; VALUE(AC141), "O " &amp; AC141, IF(Q141 &lt; VALUE(AC141), "U " &amp; AC141, AC141))</f>
        <v/>
      </c>
      <c r="AC141" s="26">
        <f>IF(OR(O141="-", P141="-"), "-", MROUND(O141 + P141, 0.5))</f>
        <v/>
      </c>
      <c r="AD141" s="26">
        <f>VALUE(TRIM(RIGHT(AF141, LEN(AF141) - FIND(" ", AF141))))</f>
        <v/>
      </c>
      <c r="AE141" s="26">
        <f>LEFT(AF141,FIND(" ",AF141)-1)</f>
        <v/>
      </c>
      <c r="AF141" s="26">
        <f>IF(OR(O141="-", P141="-"), "-",
IF(MROUND(ABS(O141-P141),0.5)&lt;=0.5,
IF(O141&gt;P141, B141 &amp; " ML", H141 &amp; " ML"),
IF(MROUND(ABS(O141-P141),0.5)=1,
IF(O141&gt;P141, H141 &amp; " +1.5", B141 &amp; " +1.5"),
IF(O141&gt;P141, B141 &amp; " -1.5", H141 &amp; " -1.5")
)
)
)</f>
        <v/>
      </c>
      <c r="AG141" s="26">
        <f>_xlfn.LET(
_xlpm.winA, O141^1.83 / (O141^1.83 + P141^1.83),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42">
      <c r="A142" s="14" t="n">
        <v>46117</v>
      </c>
      <c r="B142" s="15" t="inlineStr">
        <is>
          <t>CUBS</t>
        </is>
      </c>
      <c r="C142">
        <f>VLOOKUP(B142, 'MLB Data'!$B$5:$D$34, 3, FALSE)</f>
        <v/>
      </c>
      <c r="D142" s="16" t="inlineStr">
        <is>
          <t>IMANAGA</t>
        </is>
      </c>
      <c r="E142" s="17" t="n">
        <v>4.6</v>
      </c>
      <c r="F142" s="17">
        <f>VLOOKUP(B142, 'MLB Data'!$F$2:$H$34, 3, FALSE)</f>
        <v/>
      </c>
      <c r="G142" s="17">
        <f>IF((E142*0.6+F142*0.4)&lt;2.5, 2.8, IF((E142*0.6+F142*0.4)&gt;5.5, 5.2, (E142*0.6+F142*0.4)))</f>
        <v/>
      </c>
      <c r="H142" s="15" t="inlineStr">
        <is>
          <t>GUARDIANS</t>
        </is>
      </c>
      <c r="I142">
        <f>VLOOKUP(H142, 'MLB Data'!$B$5:$D$34, 3, FALSE)</f>
        <v/>
      </c>
      <c r="J142" s="16" t="inlineStr">
        <is>
          <t>MESSICK</t>
        </is>
      </c>
      <c r="K142" s="17" t="n">
        <v>3.99</v>
      </c>
      <c r="L142" s="17">
        <f>VLOOKUP(H142, 'MLB Data'!$F$2:$H$34, 3, FALSE)</f>
        <v/>
      </c>
      <c r="M142" s="17">
        <f>IF((K142*0.6+L142*0.4)&lt;2.5, 2.8, IF((K142*0.6+L142*0.4)&gt;5.5, 5.2, (K142*0.6+L142*0.4)))</f>
        <v/>
      </c>
      <c r="O142" s="18">
        <f>(C142/100) * 4.45 * (M142 / 4.2) * T142</f>
        <v/>
      </c>
      <c r="P142" s="18">
        <f>(I142/100) * 4.45 * (G142 / 4.2) * T142</f>
        <v/>
      </c>
      <c r="Q142" s="18">
        <f>(O142+P142)</f>
        <v/>
      </c>
      <c r="S142" s="15">
        <f>H142</f>
        <v/>
      </c>
      <c r="T142" s="19">
        <f>IF(S142="ROCKIES",1.13,IF(S142="ATHLETICS",1.03,IF(S142="ROYALS",1.03,IF(S142="TWINS",1,IF(S142="TIGERS",1,IF(S142="MARLINS",1.01,IF(S142="REDS",1.05,IF(S142="RED SOX",1.04,IF(S142="YANKEES",1.02,IF(S142="DODGERS",0.99,IF(S142="PADRES",0.96,IF(S142="CUBS",0.98,IF(S142="GIANTS",0.97,IF(S142="MARINERS",0.94,IF(S142="RANGERS",1,IF(S142="ASTROS",0.99,IF(S142="BRAVES",1,IF(S142="METS",0.96,IF(S142="PHILLIES",1.02,IF(S142="BLUE JAYS",1.01,IF(S142="ORIOLES",0.99,IF(S142="RAYS",1.01,IF(S142="GUARDIANS",0.99,IF(S142="WHITE SOX",0.98,IF(S142="ANGELS",1.01,IF(S142="D-BACKS",1.01,IF(S142="BREWERS",0.99,IF(S142="CARDINALS",0.96,IF(S142="PIRATES",1.02,IF(S142="NATIONALS",1,1))))))))))))))))))))))))))))))*IF(W142="",1,(1+((W142-70)/10*0.035)))*IF(U142="DOME",1,IF(U142="IN",1-(V142*0.01),IF(U142="OUT",1+(V142*0.01),IF(OR(U142="L-R",U142="R-L"),1+(V142*0.005),1))))</f>
        <v/>
      </c>
      <c r="U142" s="15" t="inlineStr">
        <is>
          <t>L-R</t>
        </is>
      </c>
      <c r="V142" s="15" t="n"/>
      <c r="W142" s="15" t="n">
        <v>46</v>
      </c>
      <c r="Y142">
        <f>B142 &amp; " vs. " &amp; H142</f>
        <v/>
      </c>
      <c r="Z142">
        <f>TRIM(LEFT(Y142, FIND("vs.", Y142)-1))</f>
        <v/>
      </c>
      <c r="AA142">
        <f>TRIM(MID(Y142, FIND(" vs. ", Y142)+4, 100))</f>
        <v/>
      </c>
      <c r="AB142">
        <f>IF(Q142 &gt; VALUE(AC142), "O " &amp; AC142, IF(Q142 &lt; VALUE(AC142), "U " &amp; AC142, AC142))</f>
        <v/>
      </c>
      <c r="AC142" s="15">
        <f>IF(OR(O142="-", P142="-"), "-", MROUND(O142 + P142, 0.5))</f>
        <v/>
      </c>
      <c r="AD142" s="15">
        <f>VALUE(TRIM(RIGHT(AF142, LEN(AF142) - FIND(" ", AF142))))</f>
        <v/>
      </c>
      <c r="AE142" s="15">
        <f>LEFT(AF142,FIND(" ",AF142)-1)</f>
        <v/>
      </c>
      <c r="AF142" s="15">
        <f>IF(OR(O142="-", P142="-"), "-",
IF(MROUND(ABS(O142-P142),0.5)&lt;=0.5,
IF(O142&gt;P142, B142 &amp; " ML", H142 &amp; " ML"),
IF(MROUND(ABS(O142-P142),0.5)=1,
IF(O142&gt;P142, H142 &amp; " +1.5", B142 &amp; " +1.5"),
IF(O142&gt;P142, B142 &amp; " -1.5", H142 &amp; " -1.5")
)
)
)</f>
        <v/>
      </c>
      <c r="AG142" s="15">
        <f>_xlfn.LET(
_xlpm.winA, O142^1.83 / (O142^1.83 + P142^1.83),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43">
      <c r="A143" s="14" t="n">
        <v>46118</v>
      </c>
      <c r="B143" s="15" t="inlineStr">
        <is>
          <t>CUBS</t>
        </is>
      </c>
      <c r="C143">
        <f>VLOOKUP(B143, 'MLB Data'!$B$5:$D$34, 3, FALSE)</f>
        <v/>
      </c>
      <c r="D143" s="16" t="inlineStr">
        <is>
          <t>TAILLON</t>
        </is>
      </c>
      <c r="E143" s="17" t="n">
        <v>4.57</v>
      </c>
      <c r="F143" s="17">
        <f>VLOOKUP(B143, 'MLB Data'!$F$2:$H$34, 3, FALSE)</f>
        <v/>
      </c>
      <c r="G143" s="17">
        <f>IF((E143*0.6+F143*0.4)&lt;2.5, 2.8, IF((E143*0.6+F143*0.4)&gt;5.5, 5.2, (E143*0.6+F143*0.4)))</f>
        <v/>
      </c>
      <c r="H143" s="15" t="inlineStr">
        <is>
          <t>RAYS</t>
        </is>
      </c>
      <c r="I143">
        <f>VLOOKUP(H143, 'MLB Data'!$B$5:$D$34, 3, FALSE)</f>
        <v/>
      </c>
      <c r="J143" s="16" t="inlineStr">
        <is>
          <t>MCCLANAHAN</t>
        </is>
      </c>
      <c r="K143" s="17" t="n">
        <v>3.85</v>
      </c>
      <c r="L143" s="17">
        <f>VLOOKUP(H143, 'MLB Data'!$F$2:$H$34, 3, FALSE)</f>
        <v/>
      </c>
      <c r="M143" s="17">
        <f>IF((K143*0.6+L143*0.4)&lt;2.5, 2.8, IF((K143*0.6+L143*0.4)&gt;5.5, 5.2, (K143*0.6+L143*0.4)))</f>
        <v/>
      </c>
      <c r="O143" s="18">
        <f>(C143/100) * 4.45 * (M143 / 4.2) * T143</f>
        <v/>
      </c>
      <c r="P143" s="18">
        <f>(I143/100) * 4.45 * (G143 / 4.2) * T143</f>
        <v/>
      </c>
      <c r="Q143" s="18">
        <f>(O143+P143)</f>
        <v/>
      </c>
      <c r="S143" s="15">
        <f>H143</f>
        <v/>
      </c>
      <c r="T143" s="19">
        <f>IF(S143="ROCKIES",1.13,IF(S143="ATHLETICS",1.03,IF(S143="ROYALS",1.03,IF(S143="TWINS",1,IF(S143="TIGERS",1,IF(S143="MARLINS",1.01,IF(S143="REDS",1.05,IF(S143="RED SOX",1.04,IF(S143="YANKEES",1.02,IF(S143="DODGERS",0.99,IF(S143="PADRES",0.96,IF(S143="CUBS",0.98,IF(S143="GIANTS",0.97,IF(S143="MARINERS",0.94,IF(S143="RANGERS",1,IF(S143="ASTROS",0.99,IF(S143="BRAVES",1,IF(S143="METS",0.96,IF(S143="PHILLIES",1.02,IF(S143="BLUE JAYS",1.01,IF(S143="ORIOLES",0.99,IF(S143="RAYS",1.01,IF(S143="GUARDIANS",0.99,IF(S143="WHITE SOX",0.98,IF(S143="ANGELS",1.01,IF(S143="D-BACKS",1.01,IF(S143="BREWERS",0.99,IF(S143="CARDINALS",0.96,IF(S143="PIRATES",1.02,IF(S143="NATIONALS",1,1))))))))))))))))))))))))))))))*IF(W143="",1,(1+((W143-70)/10*0.035)))*IF(U143="DOME",1,IF(U143="IN",1-(V143*0.01),IF(U143="OUT",1+(V143*0.01),IF(OR(U143="L-R",U143="R-L"),1+(V143*0.005),1))))</f>
        <v/>
      </c>
      <c r="U143" s="15" t="inlineStr">
        <is>
          <t>IN</t>
        </is>
      </c>
      <c r="V143" s="15" t="n"/>
      <c r="W143" s="15" t="n">
        <v>78</v>
      </c>
      <c r="Y143">
        <f>B143 &amp; " vs. " &amp; H143</f>
        <v/>
      </c>
      <c r="Z143">
        <f>TRIM(LEFT(Y143, FIND("vs.", Y143)-1))</f>
        <v/>
      </c>
      <c r="AA143">
        <f>TRIM(MID(Y143, FIND(" vs. ", Y143)+4, 100))</f>
        <v/>
      </c>
      <c r="AB143">
        <f>IF(Q143 &gt; VALUE(AC143), "O " &amp; AC143, IF(Q143 &lt; VALUE(AC143), "U " &amp; AC143, AC143))</f>
        <v/>
      </c>
      <c r="AC143" s="15">
        <f>IF(OR(O143="-", P143="-"), "-", MROUND(O143 + P143, 0.5))</f>
        <v/>
      </c>
      <c r="AD143" s="15">
        <f>VALUE(TRIM(RIGHT(AF143, LEN(AF143) - FIND(" ", AF143))))</f>
        <v/>
      </c>
      <c r="AE143" s="15">
        <f>LEFT(AF143,FIND(" ",AF143)-1)</f>
        <v/>
      </c>
      <c r="AF143" s="15">
        <f>IF(OR(O143="-", P143="-"), "-",
IF(MROUND(ABS(O143-P143),0.5)&lt;=0.5,
IF(O143&gt;P143, B143 &amp; " ML", H143 &amp; " ML"),
IF(MROUND(ABS(O143-P143),0.5)=1,
IF(O143&gt;P143, H143 &amp; " +1.5", B143 &amp; " +1.5"),
IF(O143&gt;P143, B143 &amp; " -1.5", H143 &amp; " -1.5")
)
)
)</f>
        <v/>
      </c>
      <c r="AG143" s="15">
        <f>_xlfn.LET(
_xlpm.winA, O143^1.83 / (O143^1.83 + P143^1.83),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44">
      <c r="A144" s="14" t="n">
        <v>46118</v>
      </c>
      <c r="B144" s="15" t="inlineStr">
        <is>
          <t>ROYALS</t>
        </is>
      </c>
      <c r="C144">
        <f>VLOOKUP(B144, 'MLB Data'!$B$5:$D$34, 3, FALSE)</f>
        <v/>
      </c>
      <c r="D144" s="16" t="inlineStr">
        <is>
          <t>WACHA</t>
        </is>
      </c>
      <c r="E144" s="17" t="n">
        <v>4.78</v>
      </c>
      <c r="F144" s="17">
        <f>VLOOKUP(B144, 'MLB Data'!$F$2:$H$34, 3, FALSE)</f>
        <v/>
      </c>
      <c r="G144" s="17">
        <f>IF((E144*0.6+F144*0.4)&lt;2.5, 2.8, IF((E144*0.6+F144*0.4)&gt;5.5, 5.2, (E144*0.6+F144*0.4)))</f>
        <v/>
      </c>
      <c r="H144" s="15" t="inlineStr">
        <is>
          <t>GUARDIANS</t>
        </is>
      </c>
      <c r="I144">
        <f>VLOOKUP(H144, 'MLB Data'!$B$5:$D$34, 3, FALSE)</f>
        <v/>
      </c>
      <c r="J144" s="16" t="inlineStr">
        <is>
          <t>BIBEE</t>
        </is>
      </c>
      <c r="K144" s="17" t="n">
        <v>4.22</v>
      </c>
      <c r="L144" s="17">
        <f>VLOOKUP(H144, 'MLB Data'!$F$2:$H$34, 3, FALSE)</f>
        <v/>
      </c>
      <c r="M144" s="17">
        <f>IF((K144*0.6+L144*0.4)&lt;2.5, 2.8, IF((K144*0.6+L144*0.4)&gt;5.5, 5.2, (K144*0.6+L144*0.4)))</f>
        <v/>
      </c>
      <c r="O144" s="18">
        <f>(C144/100) * 4.45 * (M144 / 4.2) * T144</f>
        <v/>
      </c>
      <c r="P144" s="18">
        <f>(I144/100) * 4.45 * (G144 / 4.2) * T144</f>
        <v/>
      </c>
      <c r="Q144" s="18">
        <f>(O144+P144)</f>
        <v/>
      </c>
      <c r="S144" s="15">
        <f>H144</f>
        <v/>
      </c>
      <c r="T144" s="19">
        <f>IF(S144="ROCKIES",1.13,IF(S144="ATHLETICS",1.03,IF(S144="ROYALS",1.03,IF(S144="TWINS",1,IF(S144="TIGERS",1,IF(S144="MARLINS",1.01,IF(S144="REDS",1.05,IF(S144="RED SOX",1.04,IF(S144="YANKEES",1.02,IF(S144="DODGERS",0.99,IF(S144="PADRES",0.96,IF(S144="CUBS",0.98,IF(S144="GIANTS",0.97,IF(S144="MARINERS",0.94,IF(S144="RANGERS",1,IF(S144="ASTROS",0.99,IF(S144="BRAVES",1,IF(S144="METS",0.96,IF(S144="PHILLIES",1.02,IF(S144="BLUE JAYS",1.01,IF(S144="ORIOLES",0.99,IF(S144="RAYS",1.01,IF(S144="GUARDIANS",0.99,IF(S144="WHITE SOX",0.98,IF(S144="ANGELS",1.01,IF(S144="D-BACKS",1.01,IF(S144="BREWERS",0.99,IF(S144="CARDINALS",0.96,IF(S144="PIRATES",1.02,IF(S144="NATIONALS",1,1))))))))))))))))))))))))))))))*IF(W144="",1,(1+((W144-70)/10*0.035)))*IF(U144="DOME",1,IF(U144="IN",1-(V144*0.01),IF(U144="OUT",1+(V144*0.01),IF(OR(U144="L-R",U144="R-L"),1+(V144*0.005),1))))</f>
        <v/>
      </c>
      <c r="U144" s="15" t="inlineStr">
        <is>
          <t>L-R</t>
        </is>
      </c>
      <c r="V144" s="15" t="n"/>
      <c r="W144" s="15" t="n">
        <v>45</v>
      </c>
      <c r="Y144">
        <f>B144 &amp; " vs. " &amp; H144</f>
        <v/>
      </c>
      <c r="Z144">
        <f>TRIM(LEFT(Y144, FIND("vs.", Y144)-1))</f>
        <v/>
      </c>
      <c r="AA144">
        <f>TRIM(MID(Y144, FIND(" vs. ", Y144)+4, 100))</f>
        <v/>
      </c>
      <c r="AB144">
        <f>IF(Q144 &gt; VALUE(AC144), "O " &amp; AC144, IF(Q144 &lt; VALUE(AC144), "U " &amp; AC144, AC144))</f>
        <v/>
      </c>
      <c r="AC144" s="15">
        <f>IF(OR(O144="-", P144="-"), "-", MROUND(O144 + P144, 0.5))</f>
        <v/>
      </c>
      <c r="AD144" s="15">
        <f>VALUE(TRIM(RIGHT(AF144, LEN(AF144) - FIND(" ", AF144))))</f>
        <v/>
      </c>
      <c r="AE144" s="15">
        <f>LEFT(AF144,FIND(" ",AF144)-1)</f>
        <v/>
      </c>
      <c r="AF144" s="15">
        <f>IF(OR(O144="-", P144="-"), "-",
IF(MROUND(ABS(O144-P144),0.5)&lt;=0.5,
IF(O144&gt;P144, B144 &amp; " ML", H144 &amp; " ML"),
IF(MROUND(ABS(O144-P144),0.5)=1,
IF(O144&gt;P144, H144 &amp; " +1.5", B144 &amp; " +1.5"),
IF(O144&gt;P144, B144 &amp; " -1.5", H144 &amp; " -1.5")
)
)
)</f>
        <v/>
      </c>
      <c r="AG144" s="15">
        <f>_xlfn.LET(
_xlpm.winA, O144^1.83 / (O144^1.83 + P144^1.83),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45">
      <c r="A145" s="14" t="n">
        <v>46118</v>
      </c>
      <c r="B145" s="15" t="inlineStr">
        <is>
          <t>PADRES</t>
        </is>
      </c>
      <c r="C145">
        <f>VLOOKUP(B145, 'MLB Data'!$B$5:$D$34, 3, FALSE)</f>
        <v/>
      </c>
      <c r="D145" s="16" t="inlineStr">
        <is>
          <t>MARQUEZ</t>
        </is>
      </c>
      <c r="E145" s="17" t="n">
        <v>5.34</v>
      </c>
      <c r="F145" s="17">
        <f>VLOOKUP(B145, 'MLB Data'!$F$2:$H$34, 3, FALSE)</f>
        <v/>
      </c>
      <c r="G145" s="17">
        <f>IF((E145*0.6+F145*0.4)&lt;2.5, 2.8, IF((E145*0.6+F145*0.4)&gt;5.5, 5.2, (E145*0.6+F145*0.4)))</f>
        <v/>
      </c>
      <c r="H145" s="15" t="inlineStr">
        <is>
          <t>PIRATES</t>
        </is>
      </c>
      <c r="I145">
        <f>VLOOKUP(H145, 'MLB Data'!$B$5:$D$34, 3, FALSE)</f>
        <v/>
      </c>
      <c r="J145" s="16" t="inlineStr">
        <is>
          <t>CHANDLER</t>
        </is>
      </c>
      <c r="K145" s="17" t="n">
        <v>3.93</v>
      </c>
      <c r="L145" s="17">
        <f>VLOOKUP(H145, 'MLB Data'!$F$2:$H$34, 3, FALSE)</f>
        <v/>
      </c>
      <c r="M145" s="17">
        <f>IF((K145*0.6+L145*0.4)&lt;2.5, 2.8, IF((K145*0.6+L145*0.4)&gt;5.5, 5.2, (K145*0.6+L145*0.4)))</f>
        <v/>
      </c>
      <c r="O145" s="18">
        <f>(C145/100) * 4.45 * (M145 / 4.2) * T145</f>
        <v/>
      </c>
      <c r="P145" s="18">
        <f>(I145/100) * 4.45 * (G145 / 4.2) * T145</f>
        <v/>
      </c>
      <c r="Q145" s="18">
        <f>(O145+P145)</f>
        <v/>
      </c>
      <c r="S145" s="15">
        <f>H145</f>
        <v/>
      </c>
      <c r="T145" s="19">
        <f>IF(S145="ROCKIES",1.13,IF(S145="ATHLETICS",1.03,IF(S145="ROYALS",1.03,IF(S145="TWINS",1,IF(S145="TIGERS",1,IF(S145="MARLINS",1.01,IF(S145="REDS",1.05,IF(S145="RED SOX",1.04,IF(S145="YANKEES",1.02,IF(S145="DODGERS",0.99,IF(S145="PADRES",0.96,IF(S145="CUBS",0.98,IF(S145="GIANTS",0.97,IF(S145="MARINERS",0.94,IF(S145="RANGERS",1,IF(S145="ASTROS",0.99,IF(S145="BRAVES",1,IF(S145="METS",0.96,IF(S145="PHILLIES",1.02,IF(S145="BLUE JAYS",1.01,IF(S145="ORIOLES",0.99,IF(S145="RAYS",1.01,IF(S145="GUARDIANS",0.99,IF(S145="WHITE SOX",0.98,IF(S145="ANGELS",1.01,IF(S145="D-BACKS",1.01,IF(S145="BREWERS",0.99,IF(S145="CARDINALS",0.96,IF(S145="PIRATES",1.02,IF(S145="NATIONALS",1,1))))))))))))))))))))))))))))))*IF(W145="",1,(1+((W145-70)/10*0.035)))*IF(U145="DOME",1,IF(U145="IN",1-(V145*0.01),IF(U145="OUT",1+(V145*0.01),IF(OR(U145="L-R",U145="R-L"),1+(V145*0.005),1))))</f>
        <v/>
      </c>
      <c r="U145" s="15" t="inlineStr">
        <is>
          <t>OUT</t>
        </is>
      </c>
      <c r="V145" s="15" t="n"/>
      <c r="W145" s="15" t="n">
        <v>49</v>
      </c>
      <c r="Y145">
        <f>B145 &amp; " vs. " &amp; H145</f>
        <v/>
      </c>
      <c r="Z145">
        <f>TRIM(LEFT(Y145, FIND("vs.", Y145)-1))</f>
        <v/>
      </c>
      <c r="AA145">
        <f>TRIM(MID(Y145, FIND(" vs. ", Y145)+4, 100))</f>
        <v/>
      </c>
      <c r="AB145">
        <f>IF(Q145 &gt; VALUE(AC145), "O " &amp; AC145, IF(Q145 &lt; VALUE(AC145), "U " &amp; AC145, AC145))</f>
        <v/>
      </c>
      <c r="AC145" s="15">
        <f>IF(OR(O145="-", P145="-"), "-", MROUND(O145 + P145, 0.5))</f>
        <v/>
      </c>
      <c r="AD145" s="15">
        <f>VALUE(TRIM(RIGHT(AF145, LEN(AF145) - FIND(" ", AF145))))</f>
        <v/>
      </c>
      <c r="AE145" s="15">
        <f>LEFT(AF145,FIND(" ",AF145)-1)</f>
        <v/>
      </c>
      <c r="AF145" s="15">
        <f>IF(OR(O145="-", P145="-"), "-",
IF(MROUND(ABS(O145-P145),0.5)&lt;=0.5,
IF(O145&gt;P145, B145 &amp; " ML", H145 &amp; " ML"),
IF(MROUND(ABS(O145-P145),0.5)=1,
IF(O145&gt;P145, H145 &amp; " +1.5", B145 &amp; " +1.5"),
IF(O145&gt;P145, B145 &amp; " -1.5", H145 &amp; " -1.5")
)
)
)</f>
        <v/>
      </c>
      <c r="AG145" s="15">
        <f>_xlfn.LET(
_xlpm.winA, O145^1.83 / (O145^1.83 + P145^1.83),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46">
      <c r="A146" s="14" t="n">
        <v>46118</v>
      </c>
      <c r="B146" s="15" t="inlineStr">
        <is>
          <t>REDS</t>
        </is>
      </c>
      <c r="C146">
        <f>VLOOKUP(B146, 'MLB Data'!$B$5:$D$34, 3, FALSE)</f>
        <v/>
      </c>
      <c r="D146" s="16" t="inlineStr">
        <is>
          <t>WILLIAMSON</t>
        </is>
      </c>
      <c r="E146" s="17" t="n">
        <v>4.58</v>
      </c>
      <c r="F146" s="17">
        <f>VLOOKUP(B146, 'MLB Data'!$F$2:$H$34, 3, FALSE)</f>
        <v/>
      </c>
      <c r="G146" s="17">
        <f>IF((E146*0.6+F146*0.4)&lt;2.5, 2.8, IF((E146*0.6+F146*0.4)&gt;5.5, 5.2, (E146*0.6+F146*0.4)))</f>
        <v/>
      </c>
      <c r="H146" s="15" t="inlineStr">
        <is>
          <t>MARLINS</t>
        </is>
      </c>
      <c r="I146">
        <f>VLOOKUP(H146, 'MLB Data'!$B$5:$D$34, 3, FALSE)</f>
        <v/>
      </c>
      <c r="J146" s="16" t="inlineStr">
        <is>
          <t>JUNK</t>
        </is>
      </c>
      <c r="K146" s="17" t="n">
        <v>4.28</v>
      </c>
      <c r="L146" s="17">
        <f>VLOOKUP(H146, 'MLB Data'!$F$2:$H$34, 3, FALSE)</f>
        <v/>
      </c>
      <c r="M146" s="17">
        <f>IF((K146*0.6+L146*0.4)&lt;2.5, 2.8, IF((K146*0.6+L146*0.4)&gt;5.5, 5.2, (K146*0.6+L146*0.4)))</f>
        <v/>
      </c>
      <c r="O146" s="18">
        <f>(C146/100) * 4.45 * (M146 / 4.2) * T146</f>
        <v/>
      </c>
      <c r="P146" s="18">
        <f>(I146/100) * 4.45 * (G146 / 4.2) * T146</f>
        <v/>
      </c>
      <c r="Q146" s="18">
        <f>(O146+P146)</f>
        <v/>
      </c>
      <c r="S146" s="15">
        <f>H146</f>
        <v/>
      </c>
      <c r="T146" s="19">
        <f>IF(S146="ROCKIES",1.13,IF(S146="ATHLETICS",1.03,IF(S146="ROYALS",1.03,IF(S146="TWINS",1,IF(S146="TIGERS",1,IF(S146="MARLINS",1.01,IF(S146="REDS",1.05,IF(S146="RED SOX",1.04,IF(S146="YANKEES",1.02,IF(S146="DODGERS",0.99,IF(S146="PADRES",0.96,IF(S146="CUBS",0.98,IF(S146="GIANTS",0.97,IF(S146="MARINERS",0.94,IF(S146="RANGERS",1,IF(S146="ASTROS",0.99,IF(S146="BRAVES",1,IF(S146="METS",0.96,IF(S146="PHILLIES",1.02,IF(S146="BLUE JAYS",1.01,IF(S146="ORIOLES",0.99,IF(S146="RAYS",1.01,IF(S146="GUARDIANS",0.99,IF(S146="WHITE SOX",0.98,IF(S146="ANGELS",1.01,IF(S146="D-BACKS",1.01,IF(S146="BREWERS",0.99,IF(S146="CARDINALS",0.96,IF(S146="PIRATES",1.02,IF(S146="NATIONALS",1,1))))))))))))))))))))))))))))))*IF(W146="",1,(1+((W146-70)/10*0.035)))*IF(U146="DOME",1,IF(U146="IN",1-(V146*0.01),IF(U146="OUT",1+(V146*0.01),IF(OR(U146="L-R",U146="R-L"),1+(V146*0.005),1))))</f>
        <v/>
      </c>
      <c r="U146" s="15" t="inlineStr">
        <is>
          <t>DOME</t>
        </is>
      </c>
      <c r="V146" s="15" t="n"/>
      <c r="W146" s="15" t="n">
        <v>77</v>
      </c>
      <c r="Y146">
        <f>B146 &amp; " vs. " &amp; H146</f>
        <v/>
      </c>
      <c r="Z146">
        <f>TRIM(LEFT(Y146, FIND("vs.", Y146)-1))</f>
        <v/>
      </c>
      <c r="AA146">
        <f>TRIM(MID(Y146, FIND(" vs. ", Y146)+4, 100))</f>
        <v/>
      </c>
      <c r="AB146">
        <f>IF(Q146 &gt; VALUE(AC146), "O " &amp; AC146, IF(Q146 &lt; VALUE(AC146), "U " &amp; AC146, AC146))</f>
        <v/>
      </c>
      <c r="AC146" s="15">
        <f>IF(OR(O146="-", P146="-"), "-", MROUND(O146 + P146, 0.5))</f>
        <v/>
      </c>
      <c r="AD146" s="15">
        <f>VALUE(TRIM(RIGHT(AF146, LEN(AF146) - FIND(" ", AF146))))</f>
        <v/>
      </c>
      <c r="AE146" s="15">
        <f>LEFT(AF146,FIND(" ",AF146)-1)</f>
        <v/>
      </c>
      <c r="AF146" s="15">
        <f>IF(OR(O146="-", P146="-"), "-",
IF(MROUND(ABS(O146-P146),0.5)&lt;=0.5,
IF(O146&gt;P146, B146 &amp; " ML", H146 &amp; " ML"),
IF(MROUND(ABS(O146-P146),0.5)=1,
IF(O146&gt;P146, H146 &amp; " +1.5", B146 &amp; " +1.5"),
IF(O146&gt;P146, B146 &amp; " -1.5", H146 &amp; " -1.5")
)
)
)</f>
        <v/>
      </c>
      <c r="AG146" s="15">
        <f>_xlfn.LET(
_xlpm.winA, O146^1.83 / (O146^1.83 + P146^1.83),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47">
      <c r="A147" s="14" t="n">
        <v>46118</v>
      </c>
      <c r="B147" s="15" t="inlineStr">
        <is>
          <t>CARDINALS</t>
        </is>
      </c>
      <c r="C147">
        <f>VLOOKUP(B147, 'MLB Data'!$B$5:$D$34, 3, FALSE)</f>
        <v/>
      </c>
      <c r="D147" s="16" t="inlineStr">
        <is>
          <t>PALLANTE</t>
        </is>
      </c>
      <c r="E147" s="17" t="n">
        <v>4.39</v>
      </c>
      <c r="F147" s="17">
        <f>VLOOKUP(B147, 'MLB Data'!$F$2:$H$34, 3, FALSE)</f>
        <v/>
      </c>
      <c r="G147" s="17">
        <f>IF((E147*0.6+F147*0.4)&lt;2.5, 2.8, IF((E147*0.6+F147*0.4)&gt;5.5, 5.2, (E147*0.6+F147*0.4)))</f>
        <v/>
      </c>
      <c r="H147" s="15" t="inlineStr">
        <is>
          <t>NATIONALS</t>
        </is>
      </c>
      <c r="I147">
        <f>VLOOKUP(H147, 'MLB Data'!$B$5:$D$34, 3, FALSE)</f>
        <v/>
      </c>
      <c r="J147" s="16" t="inlineStr">
        <is>
          <t>LITTELL</t>
        </is>
      </c>
      <c r="K147" s="17" t="n">
        <v>4.86</v>
      </c>
      <c r="L147" s="17">
        <f>VLOOKUP(H147, 'MLB Data'!$F$2:$H$34, 3, FALSE)</f>
        <v/>
      </c>
      <c r="M147" s="17">
        <f>IF((K147*0.6+L147*0.4)&lt;2.5, 2.8, IF((K147*0.6+L147*0.4)&gt;5.5, 5.2, (K147*0.6+L147*0.4)))</f>
        <v/>
      </c>
      <c r="O147" s="18">
        <f>(C147/100) * 4.45 * (M147 / 4.2) * T147</f>
        <v/>
      </c>
      <c r="P147" s="18">
        <f>(I147/100) * 4.45 * (G147 / 4.2) * T147</f>
        <v/>
      </c>
      <c r="Q147" s="18">
        <f>(O147+P147)</f>
        <v/>
      </c>
      <c r="S147" s="15">
        <f>H147</f>
        <v/>
      </c>
      <c r="T147" s="19">
        <f>IF(S147="ROCKIES",1.13,IF(S147="ATHLETICS",1.03,IF(S147="ROYALS",1.03,IF(S147="TWINS",1,IF(S147="TIGERS",1,IF(S147="MARLINS",1.01,IF(S147="REDS",1.05,IF(S147="RED SOX",1.04,IF(S147="YANKEES",1.02,IF(S147="DODGERS",0.99,IF(S147="PADRES",0.96,IF(S147="CUBS",0.98,IF(S147="GIANTS",0.97,IF(S147="MARINERS",0.94,IF(S147="RANGERS",1,IF(S147="ASTROS",0.99,IF(S147="BRAVES",1,IF(S147="METS",0.96,IF(S147="PHILLIES",1.02,IF(S147="BLUE JAYS",1.01,IF(S147="ORIOLES",0.99,IF(S147="RAYS",1.01,IF(S147="GUARDIANS",0.99,IF(S147="WHITE SOX",0.98,IF(S147="ANGELS",1.01,IF(S147="D-BACKS",1.01,IF(S147="BREWERS",0.99,IF(S147="CARDINALS",0.96,IF(S147="PIRATES",1.02,IF(S147="NATIONALS",1,1))))))))))))))))))))))))))))))*IF(W147="",1,(1+((W147-70)/10*0.035)))*IF(U147="DOME",1,IF(U147="IN",1-(V147*0.01),IF(U147="OUT",1+(V147*0.01),IF(OR(U147="L-R",U147="R-L"),1+(V147*0.005),1))))</f>
        <v/>
      </c>
      <c r="U147" s="15" t="inlineStr">
        <is>
          <t>L-R</t>
        </is>
      </c>
      <c r="V147" s="15" t="n"/>
      <c r="W147" s="15" t="n">
        <v>59</v>
      </c>
      <c r="Y147">
        <f>B147 &amp; " vs. " &amp; H147</f>
        <v/>
      </c>
      <c r="Z147">
        <f>TRIM(LEFT(Y147, FIND("vs.", Y147)-1))</f>
        <v/>
      </c>
      <c r="AA147">
        <f>TRIM(MID(Y147, FIND(" vs. ", Y147)+4, 100))</f>
        <v/>
      </c>
      <c r="AB147">
        <f>IF(Q147 &gt; VALUE(AC147), "O " &amp; AC147, IF(Q147 &lt; VALUE(AC147), "U " &amp; AC147, AC147))</f>
        <v/>
      </c>
      <c r="AC147" s="15">
        <f>IF(OR(O147="-", P147="-"), "-", MROUND(O147 + P147, 0.5))</f>
        <v/>
      </c>
      <c r="AD147" s="15">
        <f>VALUE(TRIM(RIGHT(AF147, LEN(AF147) - FIND(" ", AF147))))</f>
        <v/>
      </c>
      <c r="AE147" s="15">
        <f>LEFT(AF147,FIND(" ",AF147)-1)</f>
        <v/>
      </c>
      <c r="AF147" s="15">
        <f>IF(OR(O147="-", P147="-"), "-",
IF(MROUND(ABS(O147-P147),0.5)&lt;=0.5,
IF(O147&gt;P147, B147 &amp; " ML", H147 &amp; " ML"),
IF(MROUND(ABS(O147-P147),0.5)=1,
IF(O147&gt;P147, H147 &amp; " +1.5", B147 &amp; " +1.5"),
IF(O147&gt;P147, B147 &amp; " -1.5", H147 &amp; " -1.5")
)
)
)</f>
        <v/>
      </c>
      <c r="AG147" s="15">
        <f>_xlfn.LET(
_xlpm.winA, O147^1.83 / (O147^1.83 + P147^1.83),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48">
      <c r="A148" s="14" t="n">
        <v>46118</v>
      </c>
      <c r="B148" s="15" t="inlineStr">
        <is>
          <t>BREWERS</t>
        </is>
      </c>
      <c r="C148">
        <f>VLOOKUP(B148, 'MLB Data'!$B$5:$D$34, 3, FALSE)</f>
        <v/>
      </c>
      <c r="D148" s="16" t="inlineStr">
        <is>
          <t>WOODRUFF</t>
        </is>
      </c>
      <c r="E148" s="17" t="n">
        <v>4.09</v>
      </c>
      <c r="F148" s="17">
        <f>VLOOKUP(B148, 'MLB Data'!$F$2:$H$34, 3, FALSE)</f>
        <v/>
      </c>
      <c r="G148" s="17">
        <f>IF((E148*0.6+F148*0.4)&lt;2.5, 2.8, IF((E148*0.6+F148*0.4)&gt;5.5, 5.2, (E148*0.6+F148*0.4)))</f>
        <v/>
      </c>
      <c r="H148" s="15" t="inlineStr">
        <is>
          <t>RED SOX</t>
        </is>
      </c>
      <c r="I148">
        <f>VLOOKUP(H148, 'MLB Data'!$B$5:$D$34, 3, FALSE)</f>
        <v/>
      </c>
      <c r="J148" s="16" t="inlineStr">
        <is>
          <t>BELLO</t>
        </is>
      </c>
      <c r="K148" s="17" t="n">
        <v>4.41</v>
      </c>
      <c r="L148" s="17">
        <f>VLOOKUP(H148, 'MLB Data'!$F$2:$H$34, 3, FALSE)</f>
        <v/>
      </c>
      <c r="M148" s="17">
        <f>IF((K148*0.6+L148*0.4)&lt;2.5, 2.8, IF((K148*0.6+L148*0.4)&gt;5.5, 5.2, (K148*0.6+L148*0.4)))</f>
        <v/>
      </c>
      <c r="O148" s="18">
        <f>(C148/100) * 4.45 * (M148 / 4.2) * T148</f>
        <v/>
      </c>
      <c r="P148" s="18">
        <f>(I148/100) * 4.45 * (G148 / 4.2) * T148</f>
        <v/>
      </c>
      <c r="Q148" s="18">
        <f>(O148+P148)</f>
        <v/>
      </c>
      <c r="S148" s="15">
        <f>H148</f>
        <v/>
      </c>
      <c r="T148" s="19">
        <f>IF(S148="ROCKIES",1.13,IF(S148="ATHLETICS",1.03,IF(S148="ROYALS",1.03,IF(S148="TWINS",1,IF(S148="TIGERS",1,IF(S148="MARLINS",1.01,IF(S148="REDS",1.05,IF(S148="RED SOX",1.04,IF(S148="YANKEES",1.02,IF(S148="DODGERS",0.99,IF(S148="PADRES",0.96,IF(S148="CUBS",0.98,IF(S148="GIANTS",0.97,IF(S148="MARINERS",0.94,IF(S148="RANGERS",1,IF(S148="ASTROS",0.99,IF(S148="BRAVES",1,IF(S148="METS",0.96,IF(S148="PHILLIES",1.02,IF(S148="BLUE JAYS",1.01,IF(S148="ORIOLES",0.99,IF(S148="RAYS",1.01,IF(S148="GUARDIANS",0.99,IF(S148="WHITE SOX",0.98,IF(S148="ANGELS",1.01,IF(S148="D-BACKS",1.01,IF(S148="BREWERS",0.99,IF(S148="CARDINALS",0.96,IF(S148="PIRATES",1.02,IF(S148="NATIONALS",1,1))))))))))))))))))))))))))))))*IF(W148="",1,(1+((W148-70)/10*0.035)))*IF(U148="DOME",1,IF(U148="IN",1-(V148*0.01),IF(U148="OUT",1+(V148*0.01),IF(OR(U148="L-R",U148="R-L"),1+(V148*0.005),1))))</f>
        <v/>
      </c>
      <c r="U148" s="15" t="inlineStr">
        <is>
          <t>OUT</t>
        </is>
      </c>
      <c r="V148" s="15" t="n"/>
      <c r="W148" s="15" t="n">
        <v>48</v>
      </c>
      <c r="Y148">
        <f>B148 &amp; " vs. " &amp; H148</f>
        <v/>
      </c>
      <c r="Z148">
        <f>TRIM(LEFT(Y148, FIND("vs.", Y148)-1))</f>
        <v/>
      </c>
      <c r="AA148">
        <f>TRIM(MID(Y148, FIND(" vs. ", Y148)+4, 100))</f>
        <v/>
      </c>
      <c r="AB148">
        <f>IF(Q148 &gt; VALUE(AC148), "O " &amp; AC148, IF(Q148 &lt; VALUE(AC148), "U " &amp; AC148, AC148))</f>
        <v/>
      </c>
      <c r="AC148" s="15">
        <f>IF(OR(O148="-", P148="-"), "-", MROUND(O148 + P148, 0.5))</f>
        <v/>
      </c>
      <c r="AD148" s="15">
        <f>VALUE(TRIM(RIGHT(AF148, LEN(AF148) - FIND(" ", AF148))))</f>
        <v/>
      </c>
      <c r="AE148" s="15">
        <f>LEFT(AF148,FIND(" ",AF148)-1)</f>
        <v/>
      </c>
      <c r="AF148" s="15">
        <f>IF(OR(O148="-", P148="-"), "-",
IF(MROUND(ABS(O148-P148),0.5)&lt;=0.5,
IF(O148&gt;P148, B148 &amp; " ML", H148 &amp; " ML"),
IF(MROUND(ABS(O148-P148),0.5)=1,
IF(O148&gt;P148, H148 &amp; " +1.5", B148 &amp; " +1.5"),
IF(O148&gt;P148, B148 &amp; " -1.5", H148 &amp; " -1.5")
)
)
)</f>
        <v/>
      </c>
      <c r="AG148" s="15">
        <f>_xlfn.LET(
_xlpm.winA, O148^1.83 / (O148^1.83 + P148^1.83),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49">
      <c r="A149" s="14" t="n">
        <v>46118</v>
      </c>
      <c r="B149" s="15" t="inlineStr">
        <is>
          <t>DODGERS</t>
        </is>
      </c>
      <c r="C149">
        <f>VLOOKUP(B149, 'MLB Data'!$B$5:$D$34, 3, FALSE)</f>
        <v/>
      </c>
      <c r="D149" s="16" t="inlineStr">
        <is>
          <t>WROBLESKI</t>
        </is>
      </c>
      <c r="E149" s="17" t="n">
        <v>4.03</v>
      </c>
      <c r="F149" s="17">
        <f>VLOOKUP(B149, 'MLB Data'!$F$2:$H$34, 3, FALSE)</f>
        <v/>
      </c>
      <c r="G149" s="17">
        <f>IF((E149*0.6+F149*0.4)&lt;2.5, 2.8, IF((E149*0.6+F149*0.4)&gt;5.5, 5.2, (E149*0.6+F149*0.4)))</f>
        <v/>
      </c>
      <c r="H149" s="15" t="inlineStr">
        <is>
          <t>BLUE JAYS</t>
        </is>
      </c>
      <c r="I149">
        <f>VLOOKUP(H149, 'MLB Data'!$B$5:$D$34, 3, FALSE)</f>
        <v/>
      </c>
      <c r="J149" s="16" t="inlineStr">
        <is>
          <t>SCHERZER</t>
        </is>
      </c>
      <c r="K149" s="17" t="n">
        <v>4.78</v>
      </c>
      <c r="L149" s="17">
        <f>VLOOKUP(H149, 'MLB Data'!$F$2:$H$34, 3, FALSE)</f>
        <v/>
      </c>
      <c r="M149" s="17">
        <f>IF((K149*0.6+L149*0.4)&lt;2.5, 2.8, IF((K149*0.6+L149*0.4)&gt;5.5, 5.2, (K149*0.6+L149*0.4)))</f>
        <v/>
      </c>
      <c r="O149" s="18">
        <f>(C149/100) * 4.45 * (M149 / 4.2) * T149</f>
        <v/>
      </c>
      <c r="P149" s="18">
        <f>(I149/100) * 4.45 * (G149 / 4.2) * T149</f>
        <v/>
      </c>
      <c r="Q149" s="18">
        <f>(O149+P149)</f>
        <v/>
      </c>
      <c r="S149" s="15">
        <f>H149</f>
        <v/>
      </c>
      <c r="T149" s="19">
        <f>IF(S149="ROCKIES",1.13,IF(S149="ATHLETICS",1.03,IF(S149="ROYALS",1.03,IF(S149="TWINS",1,IF(S149="TIGERS",1,IF(S149="MARLINS",1.01,IF(S149="REDS",1.05,IF(S149="RED SOX",1.04,IF(S149="YANKEES",1.02,IF(S149="DODGERS",0.99,IF(S149="PADRES",0.96,IF(S149="CUBS",0.98,IF(S149="GIANTS",0.97,IF(S149="MARINERS",0.94,IF(S149="RANGERS",1,IF(S149="ASTROS",0.99,IF(S149="BRAVES",1,IF(S149="METS",0.96,IF(S149="PHILLIES",1.02,IF(S149="BLUE JAYS",1.01,IF(S149="ORIOLES",0.99,IF(S149="RAYS",1.01,IF(S149="GUARDIANS",0.99,IF(S149="WHITE SOX",0.98,IF(S149="ANGELS",1.01,IF(S149="D-BACKS",1.01,IF(S149="BREWERS",0.99,IF(S149="CARDINALS",0.96,IF(S149="PIRATES",1.02,IF(S149="NATIONALS",1,1))))))))))))))))))))))))))))))*IF(W149="",1,(1+((W149-70)/10*0.035)))*IF(U149="DOME",1,IF(U149="IN",1-(V149*0.01),IF(U149="OUT",1+(V149*0.01),IF(OR(U149="L-R",U149="R-L"),1+(V149*0.005),1))))</f>
        <v/>
      </c>
      <c r="U149" s="15" t="inlineStr">
        <is>
          <t>DOME</t>
        </is>
      </c>
      <c r="V149" s="15" t="n"/>
      <c r="W149" s="15" t="n">
        <v>37</v>
      </c>
      <c r="Y149">
        <f>B149 &amp; " vs. " &amp; H149</f>
        <v/>
      </c>
      <c r="Z149">
        <f>TRIM(LEFT(Y149, FIND("vs.", Y149)-1))</f>
        <v/>
      </c>
      <c r="AA149">
        <f>TRIM(MID(Y149, FIND(" vs. ", Y149)+4, 100))</f>
        <v/>
      </c>
      <c r="AB149">
        <f>IF(Q149 &gt; VALUE(AC149), "O " &amp; AC149, IF(Q149 &lt; VALUE(AC149), "U " &amp; AC149, AC149))</f>
        <v/>
      </c>
      <c r="AC149" s="15">
        <f>IF(OR(O149="-", P149="-"), "-", MROUND(O149 + P149, 0.5))</f>
        <v/>
      </c>
      <c r="AD149" s="15">
        <f>VALUE(TRIM(RIGHT(AF149, LEN(AF149) - FIND(" ", AF149))))</f>
        <v/>
      </c>
      <c r="AE149" s="15">
        <f>LEFT(AF149,FIND(" ",AF149)-1)</f>
        <v/>
      </c>
      <c r="AF149" s="15">
        <f>IF(OR(O149="-", P149="-"), "-",
IF(MROUND(ABS(O149-P149),0.5)&lt;=0.5,
IF(O149&gt;P149, B149 &amp; " ML", H149 &amp; " ML"),
IF(MROUND(ABS(O149-P149),0.5)=1,
IF(O149&gt;P149, H149 &amp; " +1.5", B149 &amp; " +1.5"),
IF(O149&gt;P149, B149 &amp; " -1.5", H149 &amp; " -1.5")
)
)
)</f>
        <v/>
      </c>
      <c r="AG149" s="15">
        <f>_xlfn.LET(
_xlpm.winA, O149^1.83 / (O149^1.83 + P149^1.83),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50">
      <c r="A150" s="14" t="n">
        <v>46118</v>
      </c>
      <c r="B150" s="15" t="inlineStr">
        <is>
          <t>TIGERS</t>
        </is>
      </c>
      <c r="C150">
        <f>VLOOKUP(B150, 'MLB Data'!$B$5:$D$34, 3, FALSE)</f>
        <v/>
      </c>
      <c r="D150" s="16" t="inlineStr">
        <is>
          <t>MIZE</t>
        </is>
      </c>
      <c r="E150" s="17" t="n">
        <v>4.36</v>
      </c>
      <c r="F150" s="17">
        <f>VLOOKUP(B150, 'MLB Data'!$F$2:$H$34, 3, FALSE)</f>
        <v/>
      </c>
      <c r="G150" s="17">
        <f>IF((E150*0.6+F150*0.4)&lt;2.5, 2.8, IF((E150*0.6+F150*0.4)&gt;5.5, 5.2, (E150*0.6+F150*0.4)))</f>
        <v/>
      </c>
      <c r="H150" s="15" t="inlineStr">
        <is>
          <t>TWINS</t>
        </is>
      </c>
      <c r="I150">
        <f>VLOOKUP(H150, 'MLB Data'!$B$5:$D$34, 3, FALSE)</f>
        <v/>
      </c>
      <c r="J150" s="16" t="inlineStr">
        <is>
          <t>RYAN</t>
        </is>
      </c>
      <c r="K150" s="17" t="n">
        <v>3.87</v>
      </c>
      <c r="L150" s="17">
        <f>VLOOKUP(H150, 'MLB Data'!$F$2:$H$34, 3, FALSE)</f>
        <v/>
      </c>
      <c r="M150" s="17">
        <f>IF((K150*0.6+L150*0.4)&lt;2.5, 2.8, IF((K150*0.6+L150*0.4)&gt;5.5, 5.2, (K150*0.6+L150*0.4)))</f>
        <v/>
      </c>
      <c r="O150" s="18">
        <f>(C150/100) * 4.45 * (M150 / 4.2) * T150</f>
        <v/>
      </c>
      <c r="P150" s="18">
        <f>(I150/100) * 4.45 * (G150 / 4.2) * T150</f>
        <v/>
      </c>
      <c r="Q150" s="18">
        <f>(O150+P150)</f>
        <v/>
      </c>
      <c r="S150" s="15">
        <f>H150</f>
        <v/>
      </c>
      <c r="T150" s="19">
        <f>IF(S150="ROCKIES",1.13,IF(S150="ATHLETICS",1.03,IF(S150="ROYALS",1.03,IF(S150="TWINS",1,IF(S150="TIGERS",1,IF(S150="MARLINS",1.01,IF(S150="REDS",1.05,IF(S150="RED SOX",1.04,IF(S150="YANKEES",1.02,IF(S150="DODGERS",0.99,IF(S150="PADRES",0.96,IF(S150="CUBS",0.98,IF(S150="GIANTS",0.97,IF(S150="MARINERS",0.94,IF(S150="RANGERS",1,IF(S150="ASTROS",0.99,IF(S150="BRAVES",1,IF(S150="METS",0.96,IF(S150="PHILLIES",1.02,IF(S150="BLUE JAYS",1.01,IF(S150="ORIOLES",0.99,IF(S150="RAYS",1.01,IF(S150="GUARDIANS",0.99,IF(S150="WHITE SOX",0.98,IF(S150="ANGELS",1.01,IF(S150="D-BACKS",1.01,IF(S150="BREWERS",0.99,IF(S150="CARDINALS",0.96,IF(S150="PIRATES",1.02,IF(S150="NATIONALS",1,1))))))))))))))))))))))))))))))*IF(W150="",1,(1+((W150-70)/10*0.035)))*IF(U150="DOME",1,IF(U150="IN",1-(V150*0.01),IF(U150="OUT",1+(V150*0.01),IF(OR(U150="L-R",U150="R-L"),1+(V150*0.005),1))))</f>
        <v/>
      </c>
      <c r="U150" s="15" t="inlineStr">
        <is>
          <t>OUT</t>
        </is>
      </c>
      <c r="V150" s="15" t="n"/>
      <c r="W150" s="15" t="n">
        <v>34</v>
      </c>
      <c r="Y150">
        <f>B150 &amp; " vs. " &amp; H150</f>
        <v/>
      </c>
      <c r="Z150">
        <f>TRIM(LEFT(Y150, FIND("vs.", Y150)-1))</f>
        <v/>
      </c>
      <c r="AA150">
        <f>TRIM(MID(Y150, FIND(" vs. ", Y150)+4, 100))</f>
        <v/>
      </c>
      <c r="AB150">
        <f>IF(Q150 &gt; VALUE(AC150), "O " &amp; AC150, IF(Q150 &lt; VALUE(AC150), "U " &amp; AC150, AC150))</f>
        <v/>
      </c>
      <c r="AC150" s="15">
        <f>IF(OR(O150="-", P150="-"), "-", MROUND(O150 + P150, 0.5))</f>
        <v/>
      </c>
      <c r="AD150" s="15">
        <f>VALUE(TRIM(RIGHT(AF150, LEN(AF150) - FIND(" ", AF150))))</f>
        <v/>
      </c>
      <c r="AE150" s="15">
        <f>LEFT(AF150,FIND(" ",AF150)-1)</f>
        <v/>
      </c>
      <c r="AF150" s="15">
        <f>IF(OR(O150="-", P150="-"), "-",
IF(MROUND(ABS(O150-P150),0.5)&lt;=0.5,
IF(O150&gt;P150, B150 &amp; " ML", H150 &amp; " ML"),
IF(MROUND(ABS(O150-P150),0.5)=1,
IF(O150&gt;P150, H150 &amp; " +1.5", B150 &amp; " +1.5"),
IF(O150&gt;P150, B150 &amp; " -1.5", H150 &amp; " -1.5")
)
)
)</f>
        <v/>
      </c>
      <c r="AG150" s="15">
        <f>_xlfn.LET(
_xlpm.winA, O150^1.83 / (O150^1.83 + P150^1.83),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51">
      <c r="A151" s="14" t="n">
        <v>46118</v>
      </c>
      <c r="B151" s="15" t="inlineStr">
        <is>
          <t>ORIOLES</t>
        </is>
      </c>
      <c r="C151">
        <f>VLOOKUP(B151, 'MLB Data'!$B$5:$D$34, 3, FALSE)</f>
        <v/>
      </c>
      <c r="D151" s="16" t="inlineStr">
        <is>
          <t>YOUNG</t>
        </is>
      </c>
      <c r="E151" s="17" t="n">
        <v>4.46</v>
      </c>
      <c r="F151" s="17">
        <f>VLOOKUP(B151, 'MLB Data'!$F$2:$H$34, 3, FALSE)</f>
        <v/>
      </c>
      <c r="G151" s="17">
        <f>IF((E151*0.6+F151*0.4)&lt;2.5, 2.8, IF((E151*0.6+F151*0.4)&gt;5.5, 5.2, (E151*0.6+F151*0.4)))</f>
        <v/>
      </c>
      <c r="H151" s="15" t="inlineStr">
        <is>
          <t>WHITE SOX</t>
        </is>
      </c>
      <c r="I151">
        <f>VLOOKUP(H151, 'MLB Data'!$B$5:$D$34, 3, FALSE)</f>
        <v/>
      </c>
      <c r="J151" s="16" t="inlineStr">
        <is>
          <t>G. TAYLOR</t>
        </is>
      </c>
      <c r="K151" s="17" t="n">
        <v>2.94</v>
      </c>
      <c r="L151" s="17">
        <f>VLOOKUP(H151, 'MLB Data'!$F$2:$H$34, 3, FALSE)</f>
        <v/>
      </c>
      <c r="M151" s="17">
        <f>IF((K151*0.6+L151*0.4)&lt;2.5, 2.8, IF((K151*0.6+L151*0.4)&gt;5.5, 5.2, (K151*0.6+L151*0.4)))</f>
        <v/>
      </c>
      <c r="O151" s="18">
        <f>(C151/100) * 4.45 * (M151 / 4.2) * T151</f>
        <v/>
      </c>
      <c r="P151" s="18">
        <f>(I151/100) * 4.45 * (G151 / 4.2) * T151</f>
        <v/>
      </c>
      <c r="Q151" s="18">
        <f>(O151+P151)</f>
        <v/>
      </c>
      <c r="S151" s="15">
        <f>H151</f>
        <v/>
      </c>
      <c r="T151" s="19">
        <f>IF(S151="ROCKIES",1.13,IF(S151="ATHLETICS",1.03,IF(S151="ROYALS",1.03,IF(S151="TWINS",1,IF(S151="TIGERS",1,IF(S151="MARLINS",1.01,IF(S151="REDS",1.05,IF(S151="RED SOX",1.04,IF(S151="YANKEES",1.02,IF(S151="DODGERS",0.99,IF(S151="PADRES",0.96,IF(S151="CUBS",0.98,IF(S151="GIANTS",0.97,IF(S151="MARINERS",0.94,IF(S151="RANGERS",1,IF(S151="ASTROS",0.99,IF(S151="BRAVES",1,IF(S151="METS",0.96,IF(S151="PHILLIES",1.02,IF(S151="BLUE JAYS",1.01,IF(S151="ORIOLES",0.99,IF(S151="RAYS",1.01,IF(S151="GUARDIANS",0.99,IF(S151="WHITE SOX",0.98,IF(S151="ANGELS",1.01,IF(S151="D-BACKS",1.01,IF(S151="BREWERS",0.99,IF(S151="CARDINALS",0.96,IF(S151="PIRATES",1.02,IF(S151="NATIONALS",1,1))))))))))))))))))))))))))))))*IF(W151="",1,(1+((W151-70)/10*0.035)))*IF(U151="DOME",1,IF(U151="IN",1-(V151*0.01),IF(U151="OUT",1+(V151*0.01),IF(OR(U151="L-R",U151="R-L"),1+(V151*0.005),1))))</f>
        <v/>
      </c>
      <c r="U151" s="15" t="inlineStr">
        <is>
          <t>OUT</t>
        </is>
      </c>
      <c r="V151" s="15" t="n"/>
      <c r="W151" s="15" t="n">
        <v>43</v>
      </c>
      <c r="Y151">
        <f>B151 &amp; " vs. " &amp; H151</f>
        <v/>
      </c>
      <c r="Z151">
        <f>TRIM(LEFT(Y151, FIND("vs.", Y151)-1))</f>
        <v/>
      </c>
      <c r="AA151">
        <f>TRIM(MID(Y151, FIND(" vs. ", Y151)+4, 100))</f>
        <v/>
      </c>
      <c r="AB151">
        <f>IF(Q151 &gt; VALUE(AC151), "O " &amp; AC151, IF(Q151 &lt; VALUE(AC151), "U " &amp; AC151, AC151))</f>
        <v/>
      </c>
      <c r="AC151" s="15">
        <f>IF(OR(O151="-", P151="-"), "-", MROUND(O151 + P151, 0.5))</f>
        <v/>
      </c>
      <c r="AD151" s="15">
        <f>VALUE(TRIM(RIGHT(AF151, LEN(AF151) - FIND(" ", AF151))))</f>
        <v/>
      </c>
      <c r="AE151" s="15">
        <f>LEFT(AF151,FIND(" ",AF151)-1)</f>
        <v/>
      </c>
      <c r="AF151" s="15">
        <f>IF(OR(O151="-", P151="-"), "-",
IF(MROUND(ABS(O151-P151),0.5)&lt;=0.5,
IF(O151&gt;P151, B151 &amp; " ML", H151 &amp; " ML"),
IF(MROUND(ABS(O151-P151),0.5)=1,
IF(O151&gt;P151, H151 &amp; " +1.5", B151 &amp; " +1.5"),
IF(O151&gt;P151, B151 &amp; " -1.5", H151 &amp; " -1.5")
)
)
)</f>
        <v/>
      </c>
      <c r="AG151" s="15">
        <f>_xlfn.LET(
_xlpm.winA, O151^1.83 / (O151^1.83 + P151^1.83),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52">
      <c r="A152" s="14" t="n">
        <v>46118</v>
      </c>
      <c r="B152" s="15" t="inlineStr">
        <is>
          <t>MARINERS</t>
        </is>
      </c>
      <c r="C152">
        <f>VLOOKUP(B152, 'MLB Data'!$B$5:$D$34, 3, FALSE)</f>
        <v/>
      </c>
      <c r="D152" s="16" t="inlineStr">
        <is>
          <t>GILBERT</t>
        </is>
      </c>
      <c r="E152" s="17" t="n">
        <v>3.45</v>
      </c>
      <c r="F152" s="17">
        <f>VLOOKUP(B152, 'MLB Data'!$F$2:$H$34, 3, FALSE)</f>
        <v/>
      </c>
      <c r="G152" s="17">
        <f>IF((E152*0.6+F152*0.4)&lt;2.5, 2.8, IF((E152*0.6+F152*0.4)&gt;5.5, 5.2, (E152*0.6+F152*0.4)))</f>
        <v/>
      </c>
      <c r="H152" s="15" t="inlineStr">
        <is>
          <t>RANGERS</t>
        </is>
      </c>
      <c r="I152">
        <f>VLOOKUP(H152, 'MLB Data'!$B$5:$D$34, 3, FALSE)</f>
        <v/>
      </c>
      <c r="J152" s="16" t="inlineStr">
        <is>
          <t>DEGROM</t>
        </is>
      </c>
      <c r="K152" s="17" t="n">
        <v>3.39</v>
      </c>
      <c r="L152" s="17">
        <f>VLOOKUP(H152, 'MLB Data'!$F$2:$H$34, 3, FALSE)</f>
        <v/>
      </c>
      <c r="M152" s="17">
        <f>IF((K152*0.6+L152*0.4)&lt;2.5, 2.8, IF((K152*0.6+L152*0.4)&gt;5.5, 5.2, (K152*0.6+L152*0.4)))</f>
        <v/>
      </c>
      <c r="O152" s="18">
        <f>(C152/100) * 4.45 * (M152 / 4.2) * T152</f>
        <v/>
      </c>
      <c r="P152" s="18">
        <f>(I152/100) * 4.45 * (G152 / 4.2) * T152</f>
        <v/>
      </c>
      <c r="Q152" s="18">
        <f>(O152+P152)</f>
        <v/>
      </c>
      <c r="S152" s="15">
        <f>H152</f>
        <v/>
      </c>
      <c r="T152" s="19">
        <f>IF(S152="ROCKIES",1.13,IF(S152="ATHLETICS",1.03,IF(S152="ROYALS",1.03,IF(S152="TWINS",1,IF(S152="TIGERS",1,IF(S152="MARLINS",1.01,IF(S152="REDS",1.05,IF(S152="RED SOX",1.04,IF(S152="YANKEES",1.02,IF(S152="DODGERS",0.99,IF(S152="PADRES",0.96,IF(S152="CUBS",0.98,IF(S152="GIANTS",0.97,IF(S152="MARINERS",0.94,IF(S152="RANGERS",1,IF(S152="ASTROS",0.99,IF(S152="BRAVES",1,IF(S152="METS",0.96,IF(S152="PHILLIES",1.02,IF(S152="BLUE JAYS",1.01,IF(S152="ORIOLES",0.99,IF(S152="RAYS",1.01,IF(S152="GUARDIANS",0.99,IF(S152="WHITE SOX",0.98,IF(S152="ANGELS",1.01,IF(S152="D-BACKS",1.01,IF(S152="BREWERS",0.99,IF(S152="CARDINALS",0.96,IF(S152="PIRATES",1.02,IF(S152="NATIONALS",1,1))))))))))))))))))))))))))))))*IF(W152="",1,(1+((W152-70)/10*0.035)))*IF(U152="DOME",1,IF(U152="IN",1-(V152*0.01),IF(U152="OUT",1+(V152*0.01),IF(OR(U152="L-R",U152="R-L"),1+(V152*0.005),1))))</f>
        <v/>
      </c>
      <c r="U152" s="15" t="inlineStr">
        <is>
          <t>DOME</t>
        </is>
      </c>
      <c r="V152" s="15" t="n"/>
      <c r="W152" s="15" t="n">
        <v>67</v>
      </c>
      <c r="Y152">
        <f>B152 &amp; " vs. " &amp; H152</f>
        <v/>
      </c>
      <c r="Z152">
        <f>TRIM(LEFT(Y152, FIND("vs.", Y152)-1))</f>
        <v/>
      </c>
      <c r="AA152">
        <f>TRIM(MID(Y152, FIND(" vs. ", Y152)+4, 100))</f>
        <v/>
      </c>
      <c r="AB152">
        <f>IF(Q152 &gt; VALUE(AC152), "O " &amp; AC152, IF(Q152 &lt; VALUE(AC152), "U " &amp; AC152, AC152))</f>
        <v/>
      </c>
      <c r="AC152" s="15">
        <f>IF(OR(O152="-", P152="-"), "-", MROUND(O152 + P152, 0.5))</f>
        <v/>
      </c>
      <c r="AD152" s="15">
        <f>VALUE(TRIM(RIGHT(AF152, LEN(AF152) - FIND(" ", AF152))))</f>
        <v/>
      </c>
      <c r="AE152" s="15">
        <f>LEFT(AF152,FIND(" ",AF152)-1)</f>
        <v/>
      </c>
      <c r="AF152" s="15">
        <f>IF(OR(O152="-", P152="-"), "-",
IF(MROUND(ABS(O152-P152),0.5)&lt;=0.5,
IF(O152&gt;P152, B152 &amp; " ML", H152 &amp; " ML"),
IF(MROUND(ABS(O152-P152),0.5)=1,
IF(O152&gt;P152, H152 &amp; " +1.5", B152 &amp; " +1.5"),
IF(O152&gt;P152, B152 &amp; " -1.5", H152 &amp; " -1.5")
)
)
)</f>
        <v/>
      </c>
      <c r="AG152" s="15">
        <f>_xlfn.LET(
_xlpm.winA, O152^1.83 / (O152^1.83 + P152^1.83),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53">
      <c r="A153" s="14" t="n">
        <v>46118</v>
      </c>
      <c r="B153" s="15" t="inlineStr">
        <is>
          <t>ASTROS</t>
        </is>
      </c>
      <c r="C153">
        <f>VLOOKUP(B153, 'MLB Data'!$B$5:$D$34, 3, FALSE)</f>
        <v/>
      </c>
      <c r="D153" s="16" t="inlineStr">
        <is>
          <t>BOLTON</t>
        </is>
      </c>
      <c r="E153" s="17" t="n">
        <v>4.11</v>
      </c>
      <c r="F153" s="17">
        <f>VLOOKUP(B153, 'MLB Data'!$F$2:$H$34, 3, FALSE)</f>
        <v/>
      </c>
      <c r="G153" s="17">
        <f>IF((E153*0.6+F153*0.4)&lt;2.5, 2.8, IF((E153*0.6+F153*0.4)&gt;5.5, 5.2, (E153*0.6+F153*0.4)))</f>
        <v/>
      </c>
      <c r="H153" s="15" t="inlineStr">
        <is>
          <t>ROCKIES</t>
        </is>
      </c>
      <c r="I153">
        <f>VLOOKUP(H153, 'MLB Data'!$B$5:$D$34, 3, FALSE)</f>
        <v/>
      </c>
      <c r="J153" s="16" t="inlineStr">
        <is>
          <t>FELTNER</t>
        </is>
      </c>
      <c r="K153" s="17" t="n">
        <v>4.86</v>
      </c>
      <c r="L153" s="17">
        <f>VLOOKUP(H153, 'MLB Data'!$F$2:$H$34, 3, FALSE)</f>
        <v/>
      </c>
      <c r="M153" s="17">
        <f>IF((K153*0.6+L153*0.4)&lt;2.5, 2.8, IF((K153*0.6+L153*0.4)&gt;5.5, 5.2, (K153*0.6+L153*0.4)))</f>
        <v/>
      </c>
      <c r="O153" s="18">
        <f>(C153/100) * 4.45 * (M153 / 4.2) * T153</f>
        <v/>
      </c>
      <c r="P153" s="18">
        <f>(I153/100) * 4.45 * (G153 / 4.2) * T153</f>
        <v/>
      </c>
      <c r="Q153" s="18">
        <f>(O153+P153)</f>
        <v/>
      </c>
      <c r="S153" s="15">
        <f>H153</f>
        <v/>
      </c>
      <c r="T153" s="19">
        <f>IF(S153="ROCKIES",1.13,IF(S153="ATHLETICS",1.03,IF(S153="ROYALS",1.03,IF(S153="TWINS",1,IF(S153="TIGERS",1,IF(S153="MARLINS",1.01,IF(S153="REDS",1.05,IF(S153="RED SOX",1.04,IF(S153="YANKEES",1.02,IF(S153="DODGERS",0.99,IF(S153="PADRES",0.96,IF(S153="CUBS",0.98,IF(S153="GIANTS",0.97,IF(S153="MARINERS",0.94,IF(S153="RANGERS",1,IF(S153="ASTROS",0.99,IF(S153="BRAVES",1,IF(S153="METS",0.96,IF(S153="PHILLIES",1.02,IF(S153="BLUE JAYS",1.01,IF(S153="ORIOLES",0.99,IF(S153="RAYS",1.01,IF(S153="GUARDIANS",0.99,IF(S153="WHITE SOX",0.98,IF(S153="ANGELS",1.01,IF(S153="D-BACKS",1.01,IF(S153="BREWERS",0.99,IF(S153="CARDINALS",0.96,IF(S153="PIRATES",1.02,IF(S153="NATIONALS",1,1))))))))))))))))))))))))))))))*IF(W153="",1,(1+((W153-70)/10*0.035)))*IF(U153="DOME",1,IF(U153="IN",1-(V153*0.01),IF(U153="OUT",1+(V153*0.01),IF(OR(U153="L-R",U153="R-L"),1+(V153*0.005),1))))</f>
        <v/>
      </c>
      <c r="U153" s="15" t="inlineStr">
        <is>
          <t>IN</t>
        </is>
      </c>
      <c r="V153" s="15" t="n"/>
      <c r="W153" s="15" t="n">
        <v>61</v>
      </c>
      <c r="Y153">
        <f>B153 &amp; " vs. " &amp; H153</f>
        <v/>
      </c>
      <c r="Z153">
        <f>TRIM(LEFT(Y153, FIND("vs.", Y153)-1))</f>
        <v/>
      </c>
      <c r="AA153">
        <f>TRIM(MID(Y153, FIND(" vs. ", Y153)+4, 100))</f>
        <v/>
      </c>
      <c r="AB153">
        <f>IF(Q153 &gt; VALUE(AC153), "O " &amp; AC153, IF(Q153 &lt; VALUE(AC153), "U " &amp; AC153, AC153))</f>
        <v/>
      </c>
      <c r="AC153" s="15">
        <f>IF(OR(O153="-", P153="-"), "-", MROUND(O153 + P153, 0.5))</f>
        <v/>
      </c>
      <c r="AD153" s="15">
        <f>VALUE(TRIM(RIGHT(AF153, LEN(AF153) - FIND(" ", AF153))))</f>
        <v/>
      </c>
      <c r="AE153" s="15">
        <f>LEFT(AF153,FIND(" ",AF153)-1)</f>
        <v/>
      </c>
      <c r="AF153" s="15">
        <f>IF(OR(O153="-", P153="-"), "-",
IF(MROUND(ABS(O153-P153),0.5)&lt;=0.5,
IF(O153&gt;P153, B153 &amp; " ML", H153 &amp; " ML"),
IF(MROUND(ABS(O153-P153),0.5)=1,
IF(O153&gt;P153, H153 &amp; " +1.5", B153 &amp; " +1.5"),
IF(O153&gt;P153, B153 &amp; " -1.5", H153 &amp; " -1.5")
)
)
)</f>
        <v/>
      </c>
      <c r="AG153" s="15">
        <f>_xlfn.LET(
_xlpm.winA, O153^1.83 / (O153^1.83 + P153^1.83),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54">
      <c r="A154" s="14" t="n">
        <v>46118</v>
      </c>
      <c r="B154" s="15" t="inlineStr">
        <is>
          <t>BRAVES</t>
        </is>
      </c>
      <c r="C154">
        <f>VLOOKUP(B154, 'MLB Data'!$B$5:$D$34, 3, FALSE)</f>
        <v/>
      </c>
      <c r="D154" s="16" t="inlineStr">
        <is>
          <t>SALE</t>
        </is>
      </c>
      <c r="E154" s="17" t="n">
        <v>2.98</v>
      </c>
      <c r="F154" s="17">
        <f>VLOOKUP(B154, 'MLB Data'!$F$2:$H$34, 3, FALSE)</f>
        <v/>
      </c>
      <c r="G154" s="17">
        <f>IF((E154*0.6+F154*0.4)&lt;2.5, 2.8, IF((E154*0.6+F154*0.4)&gt;5.5, 5.2, (E154*0.6+F154*0.4)))</f>
        <v/>
      </c>
      <c r="H154" s="15" t="inlineStr">
        <is>
          <t>ANGELS</t>
        </is>
      </c>
      <c r="I154">
        <f>VLOOKUP(H154, 'MLB Data'!$B$5:$D$34, 3, FALSE)</f>
        <v/>
      </c>
      <c r="J154" s="16" t="inlineStr">
        <is>
          <t>SORIANO</t>
        </is>
      </c>
      <c r="K154" s="17" t="n">
        <v>4.01</v>
      </c>
      <c r="L154" s="17">
        <f>VLOOKUP(H154, 'MLB Data'!$F$2:$H$34, 3, FALSE)</f>
        <v/>
      </c>
      <c r="M154" s="17">
        <f>IF((K154*0.6+L154*0.4)&lt;2.5, 2.8, IF((K154*0.6+L154*0.4)&gt;5.5, 5.2, (K154*0.6+L154*0.4)))</f>
        <v/>
      </c>
      <c r="O154" s="18">
        <f>(C154/100) * 4.45 * (M154 / 4.2) * T154</f>
        <v/>
      </c>
      <c r="P154" s="18">
        <f>(I154/100) * 4.45 * (G154 / 4.2) * T154</f>
        <v/>
      </c>
      <c r="Q154" s="18">
        <f>(O154+P154)</f>
        <v/>
      </c>
      <c r="S154" s="15">
        <f>H154</f>
        <v/>
      </c>
      <c r="T154" s="19">
        <f>IF(S154="ROCKIES",1.13,IF(S154="ATHLETICS",1.03,IF(S154="ROYALS",1.03,IF(S154="TWINS",1,IF(S154="TIGERS",1,IF(S154="MARLINS",1.01,IF(S154="REDS",1.05,IF(S154="RED SOX",1.04,IF(S154="YANKEES",1.02,IF(S154="DODGERS",0.99,IF(S154="PADRES",0.96,IF(S154="CUBS",0.98,IF(S154="GIANTS",0.97,IF(S154="MARINERS",0.94,IF(S154="RANGERS",1,IF(S154="ASTROS",0.99,IF(S154="BRAVES",1,IF(S154="METS",0.96,IF(S154="PHILLIES",1.02,IF(S154="BLUE JAYS",1.01,IF(S154="ORIOLES",0.99,IF(S154="RAYS",1.01,IF(S154="GUARDIANS",0.99,IF(S154="WHITE SOX",0.98,IF(S154="ANGELS",1.01,IF(S154="D-BACKS",1.01,IF(S154="BREWERS",0.99,IF(S154="CARDINALS",0.96,IF(S154="PIRATES",1.02,IF(S154="NATIONALS",1,1))))))))))))))))))))))))))))))*IF(W154="",1,(1+((W154-70)/10*0.035)))*IF(U154="DOME",1,IF(U154="IN",1-(V154*0.01),IF(U154="OUT",1+(V154*0.01),IF(OR(U154="L-R",U154="R-L"),1+(V154*0.005),1))))</f>
        <v/>
      </c>
      <c r="U154" s="15" t="inlineStr">
        <is>
          <t>OUT</t>
        </is>
      </c>
      <c r="V154" s="15" t="n"/>
      <c r="W154" s="15" t="n">
        <v>68</v>
      </c>
      <c r="Y154">
        <f>B154 &amp; " vs. " &amp; H154</f>
        <v/>
      </c>
      <c r="Z154">
        <f>TRIM(LEFT(Y154, FIND("vs.", Y154)-1))</f>
        <v/>
      </c>
      <c r="AA154">
        <f>TRIM(MID(Y154, FIND(" vs. ", Y154)+4, 100))</f>
        <v/>
      </c>
      <c r="AB154">
        <f>IF(Q154 &gt; VALUE(AC154), "O " &amp; AC154, IF(Q154 &lt; VALUE(AC154), "U " &amp; AC154, AC154))</f>
        <v/>
      </c>
      <c r="AC154" s="15">
        <f>IF(OR(O154="-", P154="-"), "-", MROUND(O154 + P154, 0.5))</f>
        <v/>
      </c>
      <c r="AD154" s="15">
        <f>VALUE(TRIM(RIGHT(AF154, LEN(AF154) - FIND(" ", AF154))))</f>
        <v/>
      </c>
      <c r="AE154" s="15">
        <f>LEFT(AF154,FIND(" ",AF154)-1)</f>
        <v/>
      </c>
      <c r="AF154" s="15">
        <f>IF(OR(O154="-", P154="-"), "-",
IF(MROUND(ABS(O154-P154),0.5)&lt;=0.5,
IF(O154&gt;P154, B154 &amp; " ML", H154 &amp; " ML"),
IF(MROUND(ABS(O154-P154),0.5)=1,
IF(O154&gt;P154, H154 &amp; " +1.5", B154 &amp; " +1.5"),
IF(O154&gt;P154, B154 &amp; " -1.5", H154 &amp; " -1.5")
)
)
)</f>
        <v/>
      </c>
      <c r="AG154" s="15">
        <f>_xlfn.LET(
_xlpm.winA, O154^1.83 / (O154^1.83 + P154^1.83),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55">
      <c r="A155" s="14" t="n">
        <v>46118</v>
      </c>
      <c r="B155" s="15" t="inlineStr">
        <is>
          <t>PHILLIES</t>
        </is>
      </c>
      <c r="C155">
        <f>VLOOKUP(B155, 'MLB Data'!$B$5:$D$34, 3, FALSE)</f>
        <v/>
      </c>
      <c r="D155" s="16" t="inlineStr">
        <is>
          <t>PAINTER</t>
        </is>
      </c>
      <c r="E155" s="17" t="n">
        <v>4.12</v>
      </c>
      <c r="F155" s="17">
        <f>VLOOKUP(B155, 'MLB Data'!$F$2:$H$34, 3, FALSE)</f>
        <v/>
      </c>
      <c r="G155" s="17">
        <f>IF((E155*0.6+F155*0.4)&lt;2.5, 2.8, IF((E155*0.6+F155*0.4)&gt;5.5, 5.2, (E155*0.6+F155*0.4)))</f>
        <v/>
      </c>
      <c r="H155" s="15" t="inlineStr">
        <is>
          <t>GIANTS</t>
        </is>
      </c>
      <c r="I155">
        <f>VLOOKUP(H155, 'MLB Data'!$B$5:$D$34, 3, FALSE)</f>
        <v/>
      </c>
      <c r="J155" s="16" t="inlineStr">
        <is>
          <t>HOUSER</t>
        </is>
      </c>
      <c r="K155" s="17" t="n">
        <v>4.27</v>
      </c>
      <c r="L155" s="17">
        <f>VLOOKUP(H155, 'MLB Data'!$F$2:$H$34, 3, FALSE)</f>
        <v/>
      </c>
      <c r="M155" s="17">
        <f>IF((K155*0.6+L155*0.4)&lt;2.5, 2.8, IF((K155*0.6+L155*0.4)&gt;5.5, 5.2, (K155*0.6+L155*0.4)))</f>
        <v/>
      </c>
      <c r="O155" s="18">
        <f>(C155/100) * 4.45 * (M155 / 4.2) * T155</f>
        <v/>
      </c>
      <c r="P155" s="18">
        <f>(I155/100) * 4.45 * (G155 / 4.2) * T155</f>
        <v/>
      </c>
      <c r="Q155" s="18">
        <f>(O155+P155)</f>
        <v/>
      </c>
      <c r="S155" s="15">
        <f>H155</f>
        <v/>
      </c>
      <c r="T155" s="19">
        <f>IF(S155="ROCKIES",1.13,IF(S155="ATHLETICS",1.03,IF(S155="ROYALS",1.03,IF(S155="TWINS",1,IF(S155="TIGERS",1,IF(S155="MARLINS",1.01,IF(S155="REDS",1.05,IF(S155="RED SOX",1.04,IF(S155="YANKEES",1.02,IF(S155="DODGERS",0.99,IF(S155="PADRES",0.96,IF(S155="CUBS",0.98,IF(S155="GIANTS",0.97,IF(S155="MARINERS",0.94,IF(S155="RANGERS",1,IF(S155="ASTROS",0.99,IF(S155="BRAVES",1,IF(S155="METS",0.96,IF(S155="PHILLIES",1.02,IF(S155="BLUE JAYS",1.01,IF(S155="ORIOLES",0.99,IF(S155="RAYS",1.01,IF(S155="GUARDIANS",0.99,IF(S155="WHITE SOX",0.98,IF(S155="ANGELS",1.01,IF(S155="D-BACKS",1.01,IF(S155="BREWERS",0.99,IF(S155="CARDINALS",0.96,IF(S155="PIRATES",1.02,IF(S155="NATIONALS",1,1))))))))))))))))))))))))))))))*IF(W155="",1,(1+((W155-70)/10*0.035)))*IF(U155="DOME",1,IF(U155="IN",1-(V155*0.01),IF(U155="OUT",1+(V155*0.01),IF(OR(U155="L-R",U155="R-L"),1+(V155*0.005),1))))</f>
        <v/>
      </c>
      <c r="U155" s="15" t="inlineStr">
        <is>
          <t>OUT</t>
        </is>
      </c>
      <c r="V155" s="15" t="n"/>
      <c r="W155" s="15" t="n">
        <v>58</v>
      </c>
      <c r="Y155">
        <f>B155 &amp; " vs. " &amp; H155</f>
        <v/>
      </c>
      <c r="Z155">
        <f>TRIM(LEFT(Y155, FIND("vs.", Y155)-1))</f>
        <v/>
      </c>
      <c r="AA155">
        <f>TRIM(MID(Y155, FIND(" vs. ", Y155)+4, 100))</f>
        <v/>
      </c>
      <c r="AB155">
        <f>IF(Q155 &gt; VALUE(AC155), "O " &amp; AC155, IF(Q155 &lt; VALUE(AC155), "U " &amp; AC155, AC155))</f>
        <v/>
      </c>
      <c r="AC155" s="15">
        <f>IF(OR(O155="-", P155="-"), "-", MROUND(O155 + P155, 0.5))</f>
        <v/>
      </c>
      <c r="AD155" s="15">
        <f>VALUE(TRIM(RIGHT(AF155, LEN(AF155) - FIND(" ", AF155))))</f>
        <v/>
      </c>
      <c r="AE155" s="15">
        <f>LEFT(AF155,FIND(" ",AF155)-1)</f>
        <v/>
      </c>
      <c r="AF155" s="15">
        <f>IF(OR(O155="-", P155="-"), "-",
IF(MROUND(ABS(O155-P155),0.5)&lt;=0.5,
IF(O155&gt;P155, B155 &amp; " ML", H155 &amp; " ML"),
IF(MROUND(ABS(O155-P155),0.5)=1,
IF(O155&gt;P155, H155 &amp; " +1.5", B155 &amp; " +1.5"),
IF(O155&gt;P155, B155 &amp; " -1.5", H155 &amp; " -1.5")
)
)
)</f>
        <v/>
      </c>
      <c r="AG155" s="15">
        <f>_xlfn.LET(
_xlpm.winA, O155^1.83 / (O155^1.83 + P155^1.83),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56">
      <c r="A156" s="14" t="n">
        <v>46119</v>
      </c>
      <c r="B156" s="15" t="inlineStr">
        <is>
          <t>ROYALS</t>
        </is>
      </c>
      <c r="C156">
        <f>VLOOKUP(B156, 'MLB Data'!$B$5:$D$34, 3, FALSE)</f>
        <v/>
      </c>
      <c r="D156" s="16" t="inlineStr">
        <is>
          <t>CAMERON</t>
        </is>
      </c>
      <c r="E156" s="17" t="n">
        <v>4.318000000000001</v>
      </c>
      <c r="F156" s="17">
        <f>VLOOKUP(B156, 'MLB Data'!$F$2:$H$34, 3, FALSE)</f>
        <v/>
      </c>
      <c r="G156" s="17">
        <f>IF((E156*0.6+F156*0.4)&lt;2.5, 2.8, IF((E156*0.6+F156*0.4)&gt;5.5, 5.2, (E156*0.6+F156*0.4)))</f>
        <v/>
      </c>
      <c r="H156" s="15" t="inlineStr">
        <is>
          <t>GUARDIANS</t>
        </is>
      </c>
      <c r="I156">
        <f>VLOOKUP(H156, 'MLB Data'!$B$5:$D$34, 3, FALSE)</f>
        <v/>
      </c>
      <c r="J156" s="16" t="inlineStr">
        <is>
          <t>G. WILLIAMS</t>
        </is>
      </c>
      <c r="K156" s="17" t="n">
        <v>4.03</v>
      </c>
      <c r="L156" s="17">
        <f>VLOOKUP(H156, 'MLB Data'!$F$2:$H$34, 3, FALSE)</f>
        <v/>
      </c>
      <c r="M156" s="17">
        <f>IF((K156*0.6+L156*0.4)&lt;2.5, 2.8, IF((K156*0.6+L156*0.4)&gt;5.5, 5.2, (K156*0.6+L156*0.4)))</f>
        <v/>
      </c>
      <c r="O156" s="18">
        <f>(C156/100) * 4.45 * (M156 / 4.2) * T156</f>
        <v/>
      </c>
      <c r="P156" s="18">
        <f>(I156/100) * 4.45 * (G156 / 4.2) * T156</f>
        <v/>
      </c>
      <c r="Q156" s="18">
        <f>(O156+P156)</f>
        <v/>
      </c>
      <c r="S156" s="15">
        <f>H156</f>
        <v/>
      </c>
      <c r="T156" s="19">
        <f>IF(S156="ROCKIES",1.13,IF(S156="ATHLETICS",1.03,IF(S156="ROYALS",1.03,IF(S156="TWINS",1,IF(S156="TIGERS",1,IF(S156="MARLINS",1.01,IF(S156="REDS",1.05,IF(S156="RED SOX",1.04,IF(S156="YANKEES",1.02,IF(S156="DODGERS",0.99,IF(S156="PADRES",0.96,IF(S156="CUBS",0.98,IF(S156="GIANTS",0.97,IF(S156="MARINERS",0.94,IF(S156="RANGERS",1,IF(S156="ASTROS",0.99,IF(S156="BRAVES",1,IF(S156="METS",0.96,IF(S156="PHILLIES",1.02,IF(S156="BLUE JAYS",1.01,IF(S156="ORIOLES",0.99,IF(S156="RAYS",1.01,IF(S156="GUARDIANS",0.99,IF(S156="WHITE SOX",0.98,IF(S156="ANGELS",1.01,IF(S156="D-BACKS",1.01,IF(S156="BREWERS",0.99,IF(S156="CARDINALS",0.96,IF(S156="PIRATES",1.02,IF(S156="NATIONALS",1,1))))))))))))))))))))))))))))))*IF(W156="",1,(1+((W156-70)/10*0.035)))*IF(U156="DOME",1,IF(U156="IN",1-(V156*0.01),IF(U156="OUT",1+(V156*0.01),IF(OR(U156="L-R",U156="R-L"),1+(V156*0.005),1))))</f>
        <v/>
      </c>
      <c r="U156" s="15" t="inlineStr">
        <is>
          <t>IN</t>
        </is>
      </c>
      <c r="V156" s="15" t="n"/>
      <c r="W156" s="15" t="n">
        <v>35</v>
      </c>
      <c r="Y156">
        <f>B156 &amp; " vs. " &amp; H156</f>
        <v/>
      </c>
      <c r="Z156">
        <f>TRIM(LEFT(Y156, FIND("vs.", Y156)-1))</f>
        <v/>
      </c>
      <c r="AA156">
        <f>TRIM(MID(Y156, FIND(" vs. ", Y156)+4, 100))</f>
        <v/>
      </c>
      <c r="AB156">
        <f>IF(Q156 &gt; VALUE(AC156), "O " &amp; AC156, IF(Q156 &lt; VALUE(AC156), "U " &amp; AC156, AC156))</f>
        <v/>
      </c>
      <c r="AC156" s="15">
        <f>IF(OR(O156="-", P156="-"), "-", MROUND(O156 + P156, 0.5))</f>
        <v/>
      </c>
      <c r="AD156" s="15">
        <f>VALUE(TRIM(RIGHT(AF156, LEN(AF156) - FIND(" ", AF156))))</f>
        <v/>
      </c>
      <c r="AE156" s="15">
        <f>LEFT(AF156,FIND(" ",AF156)-1)</f>
        <v/>
      </c>
      <c r="AF156" s="15">
        <f>IF(OR(O156="-", P156="-"), "-",
IF(MROUND(ABS(O156-P156),0.5)&lt;=0.5,
IF(O156&gt;P156, B156 &amp; " ML", H156 &amp; " ML"),
IF(MROUND(ABS(O156-P156),0.5)=1,
IF(O156&gt;P156, H156 &amp; " +1.5", B156 &amp; " +1.5"),
IF(O156&gt;P156, B156 &amp; " -1.5", H156 &amp; " -1.5")
)
)
)</f>
        <v/>
      </c>
      <c r="AG156" s="15">
        <f>_xlfn.LET(
_xlpm.winA, O156^1.83 / (O156^1.83 + P156^1.83),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57">
      <c r="A157" s="14" t="n">
        <v>46119</v>
      </c>
      <c r="B157" s="15" t="inlineStr">
        <is>
          <t>ORIOLES</t>
        </is>
      </c>
      <c r="C157">
        <f>VLOOKUP(B157, 'MLB Data'!$B$5:$D$34, 3, FALSE)</f>
        <v/>
      </c>
      <c r="D157" s="16" t="inlineStr">
        <is>
          <t>ROGERS</t>
        </is>
      </c>
      <c r="E157" s="17" t="n">
        <v>4.298</v>
      </c>
      <c r="F157" s="17">
        <f>VLOOKUP(B157, 'MLB Data'!$F$2:$H$34, 3, FALSE)</f>
        <v/>
      </c>
      <c r="G157" s="17">
        <f>IF((E157*0.6+F157*0.4)&lt;2.5, 2.8, IF((E157*0.6+F157*0.4)&gt;5.5, 5.2, (E157*0.6+F157*0.4)))</f>
        <v/>
      </c>
      <c r="H157" s="15" t="inlineStr">
        <is>
          <t>WHITE SOX</t>
        </is>
      </c>
      <c r="I157">
        <f>VLOOKUP(H157, 'MLB Data'!$B$5:$D$34, 3, FALSE)</f>
        <v/>
      </c>
      <c r="J157" s="16" t="inlineStr">
        <is>
          <t>SMITH</t>
        </is>
      </c>
      <c r="K157" s="17" t="n">
        <v>4.926</v>
      </c>
      <c r="L157" s="17">
        <f>VLOOKUP(H157, 'MLB Data'!$F$2:$H$34, 3, FALSE)</f>
        <v/>
      </c>
      <c r="M157" s="17">
        <f>IF((K157*0.6+L157*0.4)&lt;2.5, 2.8, IF((K157*0.6+L157*0.4)&gt;5.5, 5.2, (K157*0.6+L157*0.4)))</f>
        <v/>
      </c>
      <c r="O157" s="18">
        <f>(C157/100) * 4.45 * (M157 / 4.2) * T157</f>
        <v/>
      </c>
      <c r="P157" s="18">
        <f>(I157/100) * 4.45 * (G157 / 4.2) * T157</f>
        <v/>
      </c>
      <c r="Q157" s="18">
        <f>(O157+P157)</f>
        <v/>
      </c>
      <c r="S157" s="15">
        <f>H157</f>
        <v/>
      </c>
      <c r="T157" s="19">
        <f>IF(S157="ROCKIES",1.13,IF(S157="ATHLETICS",1.03,IF(S157="ROYALS",1.03,IF(S157="TWINS",1,IF(S157="TIGERS",1,IF(S157="MARLINS",1.01,IF(S157="REDS",1.05,IF(S157="RED SOX",1.04,IF(S157="YANKEES",1.02,IF(S157="DODGERS",0.99,IF(S157="PADRES",0.96,IF(S157="CUBS",0.98,IF(S157="GIANTS",0.97,IF(S157="MARINERS",0.94,IF(S157="RANGERS",1,IF(S157="ASTROS",0.99,IF(S157="BRAVES",1,IF(S157="METS",0.96,IF(S157="PHILLIES",1.02,IF(S157="BLUE JAYS",1.01,IF(S157="ORIOLES",0.99,IF(S157="RAYS",1.01,IF(S157="GUARDIANS",0.99,IF(S157="WHITE SOX",0.98,IF(S157="ANGELS",1.01,IF(S157="D-BACKS",1.01,IF(S157="BREWERS",0.99,IF(S157="CARDINALS",0.96,IF(S157="PIRATES",1.02,IF(S157="NATIONALS",1,1))))))))))))))))))))))))))))))*IF(W157="",1,(1+((W157-70)/10*0.035)))*IF(U157="DOME",1,IF(U157="IN",1-(V157*0.01),IF(U157="OUT",1+(V157*0.01),IF(OR(U157="L-R",U157="R-L"),1+(V157*0.005),1))))</f>
        <v/>
      </c>
      <c r="U157" s="15" t="inlineStr">
        <is>
          <t>IN</t>
        </is>
      </c>
      <c r="V157" s="15" t="n"/>
      <c r="W157" s="15" t="n">
        <v>37</v>
      </c>
      <c r="Y157">
        <f>B157 &amp; " vs. " &amp; H157</f>
        <v/>
      </c>
      <c r="Z157">
        <f>TRIM(LEFT(Y157, FIND("vs.", Y157)-1))</f>
        <v/>
      </c>
      <c r="AA157">
        <f>TRIM(MID(Y157, FIND(" vs. ", Y157)+4, 100))</f>
        <v/>
      </c>
      <c r="AB157">
        <f>IF(Q157 &gt; VALUE(AC157), "O " &amp; AC157, IF(Q157 &lt; VALUE(AC157), "U " &amp; AC157, AC157))</f>
        <v/>
      </c>
      <c r="AC157" s="15">
        <f>IF(OR(O157="-", P157="-"), "-", MROUND(O157 + P157, 0.5))</f>
        <v/>
      </c>
      <c r="AD157" s="15">
        <f>VALUE(TRIM(RIGHT(AF157, LEN(AF157) - FIND(" ", AF157))))</f>
        <v/>
      </c>
      <c r="AE157" s="15">
        <f>LEFT(AF157,FIND(" ",AF157)-1)</f>
        <v/>
      </c>
      <c r="AF157" s="15">
        <f>IF(OR(O157="-", P157="-"), "-",
IF(MROUND(ABS(O157-P157),0.5)&lt;=0.5,
IF(O157&gt;P157, B157 &amp; " ML", H157 &amp; " ML"),
IF(MROUND(ABS(O157-P157),0.5)=1,
IF(O157&gt;P157, H157 &amp; " +1.5", B157 &amp; " +1.5"),
IF(O157&gt;P157, B157 &amp; " -1.5", H157 &amp; " -1.5")
)
)
)</f>
        <v/>
      </c>
      <c r="AG157" s="15">
        <f>_xlfn.LET(
_xlpm.winA, O157^1.83 / (O157^1.83 + P157^1.83),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58">
      <c r="A158" s="14" t="n">
        <v>46119</v>
      </c>
      <c r="B158" s="15" t="inlineStr">
        <is>
          <t>D-BACKS</t>
        </is>
      </c>
      <c r="C158">
        <f>VLOOKUP(B158, 'MLB Data'!$B$5:$D$34, 3, FALSE)</f>
        <v/>
      </c>
      <c r="D158" s="16" t="inlineStr">
        <is>
          <t>GALLEN</t>
        </is>
      </c>
      <c r="E158" s="17" t="n">
        <v>4.256</v>
      </c>
      <c r="F158" s="17">
        <f>VLOOKUP(B158, 'MLB Data'!$F$2:$H$34, 3, FALSE)</f>
        <v/>
      </c>
      <c r="G158" s="17">
        <f>IF((E158*0.6+F158*0.4)&lt;2.5, 2.8, IF((E158*0.6+F158*0.4)&gt;5.5, 5.2, (E158*0.6+F158*0.4)))</f>
        <v/>
      </c>
      <c r="H158" s="15" t="inlineStr">
        <is>
          <t>METS</t>
        </is>
      </c>
      <c r="I158">
        <f>VLOOKUP(H158, 'MLB Data'!$B$5:$D$34, 3, FALSE)</f>
        <v/>
      </c>
      <c r="J158" s="16" t="inlineStr">
        <is>
          <t>PERALTA</t>
        </is>
      </c>
      <c r="K158" s="17" t="n">
        <v>3.512</v>
      </c>
      <c r="L158" s="17">
        <f>VLOOKUP(H158, 'MLB Data'!$F$2:$H$34, 3, FALSE)</f>
        <v/>
      </c>
      <c r="M158" s="17">
        <f>IF((K158*0.6+L158*0.4)&lt;2.5, 2.8, IF((K158*0.6+L158*0.4)&gt;5.5, 5.2, (K158*0.6+L158*0.4)))</f>
        <v/>
      </c>
      <c r="O158" s="18">
        <f>(C158/100) * 4.45 * (M158 / 4.2) * T158</f>
        <v/>
      </c>
      <c r="P158" s="18">
        <f>(I158/100) * 4.45 * (G158 / 4.2) * T158</f>
        <v/>
      </c>
      <c r="Q158" s="18">
        <f>(O158+P158)</f>
        <v/>
      </c>
      <c r="S158" s="15">
        <f>H158</f>
        <v/>
      </c>
      <c r="T158" s="19">
        <f>IF(S158="ROCKIES",1.13,IF(S158="ATHLETICS",1.03,IF(S158="ROYALS",1.03,IF(S158="TWINS",1,IF(S158="TIGERS",1,IF(S158="MARLINS",1.01,IF(S158="REDS",1.05,IF(S158="RED SOX",1.04,IF(S158="YANKEES",1.02,IF(S158="DODGERS",0.99,IF(S158="PADRES",0.96,IF(S158="CUBS",0.98,IF(S158="GIANTS",0.97,IF(S158="MARINERS",0.94,IF(S158="RANGERS",1,IF(S158="ASTROS",0.99,IF(S158="BRAVES",1,IF(S158="METS",0.96,IF(S158="PHILLIES",1.02,IF(S158="BLUE JAYS",1.01,IF(S158="ORIOLES",0.99,IF(S158="RAYS",1.01,IF(S158="GUARDIANS",0.99,IF(S158="WHITE SOX",0.98,IF(S158="ANGELS",1.01,IF(S158="D-BACKS",1.01,IF(S158="BREWERS",0.99,IF(S158="CARDINALS",0.96,IF(S158="PIRATES",1.02,IF(S158="NATIONALS",1,1))))))))))))))))))))))))))))))*IF(W158="",1,(1+((W158-70)/10*0.035)))*IF(U158="DOME",1,IF(U158="IN",1-(V158*0.01),IF(U158="OUT",1+(V158*0.01),IF(OR(U158="L-R",U158="R-L"),1+(V158*0.005),1))))</f>
        <v/>
      </c>
      <c r="U158" s="15" t="inlineStr">
        <is>
          <t>IN</t>
        </is>
      </c>
      <c r="V158" s="15" t="n"/>
      <c r="W158" s="15" t="n">
        <v>48</v>
      </c>
      <c r="Y158">
        <f>B158 &amp; " vs. " &amp; H158</f>
        <v/>
      </c>
      <c r="Z158">
        <f>TRIM(LEFT(Y158, FIND("vs.", Y158)-1))</f>
        <v/>
      </c>
      <c r="AA158">
        <f>TRIM(MID(Y158, FIND(" vs. ", Y158)+4, 100))</f>
        <v/>
      </c>
      <c r="AB158">
        <f>IF(Q158 &gt; VALUE(AC158), "O " &amp; AC158, IF(Q158 &lt; VALUE(AC158), "U " &amp; AC158, AC158))</f>
        <v/>
      </c>
      <c r="AC158" s="15">
        <f>IF(OR(O158="-", P158="-"), "-", MROUND(O158 + P158, 0.5))</f>
        <v/>
      </c>
      <c r="AD158" s="15">
        <f>VALUE(TRIM(RIGHT(AF158, LEN(AF158) - FIND(" ", AF158))))</f>
        <v/>
      </c>
      <c r="AE158" s="15">
        <f>LEFT(AF158,FIND(" ",AF158)-1)</f>
        <v/>
      </c>
      <c r="AF158" s="15">
        <f>IF(OR(O158="-", P158="-"), "-",
IF(MROUND(ABS(O158-P158),0.5)&lt;=0.5,
IF(O158&gt;P158, B158 &amp; " ML", H158 &amp; " ML"),
IF(MROUND(ABS(O158-P158),0.5)=1,
IF(O158&gt;P158, H158 &amp; " +1.5", B158 &amp; " +1.5"),
IF(O158&gt;P158, B158 &amp; " -1.5", H158 &amp; " -1.5")
)
)
)</f>
        <v/>
      </c>
      <c r="AG158" s="15">
        <f>_xlfn.LET(
_xlpm.winA, O158^1.83 / (O158^1.83 + P158^1.83),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59">
      <c r="A159" s="14" t="n">
        <v>46119</v>
      </c>
      <c r="B159" s="15" t="inlineStr">
        <is>
          <t>PADRES</t>
        </is>
      </c>
      <c r="C159">
        <f>VLOOKUP(B159, 'MLB Data'!$B$5:$D$34, 3, FALSE)</f>
        <v/>
      </c>
      <c r="D159" s="16" t="inlineStr">
        <is>
          <t>PIVETTA</t>
        </is>
      </c>
      <c r="E159" s="17" t="n">
        <v>4.136</v>
      </c>
      <c r="F159" s="17">
        <f>VLOOKUP(B159, 'MLB Data'!$F$2:$H$34, 3, FALSE)</f>
        <v/>
      </c>
      <c r="G159" s="17">
        <f>IF((E159*0.6+F159*0.4)&lt;2.5, 2.8, IF((E159*0.6+F159*0.4)&gt;5.5, 5.2, (E159*0.6+F159*0.4)))</f>
        <v/>
      </c>
      <c r="H159" s="15" t="inlineStr">
        <is>
          <t>PIRATES</t>
        </is>
      </c>
      <c r="I159">
        <f>VLOOKUP(H159, 'MLB Data'!$B$5:$D$34, 3, FALSE)</f>
        <v/>
      </c>
      <c r="J159" s="16" t="inlineStr">
        <is>
          <t>SKENES</t>
        </is>
      </c>
      <c r="K159" s="17" t="n">
        <v>3.478000000000001</v>
      </c>
      <c r="L159" s="17">
        <f>VLOOKUP(H159, 'MLB Data'!$F$2:$H$34, 3, FALSE)</f>
        <v/>
      </c>
      <c r="M159" s="17">
        <f>IF((K159*0.6+L159*0.4)&lt;2.5, 2.8, IF((K159*0.6+L159*0.4)&gt;5.5, 5.2, (K159*0.6+L159*0.4)))</f>
        <v/>
      </c>
      <c r="O159" s="18">
        <f>(C159/100) * 4.45 * (M159 / 4.2) * T159</f>
        <v/>
      </c>
      <c r="P159" s="18">
        <f>(I159/100) * 4.45 * (G159 / 4.2) * T159</f>
        <v/>
      </c>
      <c r="Q159" s="18">
        <f>(O159+P159)</f>
        <v/>
      </c>
      <c r="S159" s="15">
        <f>H159</f>
        <v/>
      </c>
      <c r="T159" s="19">
        <f>IF(S159="ROCKIES",1.13,IF(S159="ATHLETICS",1.03,IF(S159="ROYALS",1.03,IF(S159="TWINS",1,IF(S159="TIGERS",1,IF(S159="MARLINS",1.01,IF(S159="REDS",1.05,IF(S159="RED SOX",1.04,IF(S159="YANKEES",1.02,IF(S159="DODGERS",0.99,IF(S159="PADRES",0.96,IF(S159="CUBS",0.98,IF(S159="GIANTS",0.97,IF(S159="MARINERS",0.94,IF(S159="RANGERS",1,IF(S159="ASTROS",0.99,IF(S159="BRAVES",1,IF(S159="METS",0.96,IF(S159="PHILLIES",1.02,IF(S159="BLUE JAYS",1.01,IF(S159="ORIOLES",0.99,IF(S159="RAYS",1.01,IF(S159="GUARDIANS",0.99,IF(S159="WHITE SOX",0.98,IF(S159="ANGELS",1.01,IF(S159="D-BACKS",1.01,IF(S159="BREWERS",0.99,IF(S159="CARDINALS",0.96,IF(S159="PIRATES",1.02,IF(S159="NATIONALS",1,1))))))))))))))))))))))))))))))*IF(W159="",1,(1+((W159-70)/10*0.035)))*IF(U159="DOME",1,IF(U159="IN",1-(V159*0.01),IF(U159="OUT",1+(V159*0.01),IF(OR(U159="L-R",U159="R-L"),1+(V159*0.005),1))))</f>
        <v/>
      </c>
      <c r="U159" s="15" t="inlineStr">
        <is>
          <t>OUT</t>
        </is>
      </c>
      <c r="V159" s="15" t="n"/>
      <c r="W159" s="15" t="n">
        <v>40</v>
      </c>
      <c r="Y159">
        <f>B159 &amp; " vs. " &amp; H159</f>
        <v/>
      </c>
      <c r="Z159">
        <f>TRIM(LEFT(Y159, FIND("vs.", Y159)-1))</f>
        <v/>
      </c>
      <c r="AA159">
        <f>TRIM(MID(Y159, FIND(" vs. ", Y159)+4, 100))</f>
        <v/>
      </c>
      <c r="AB159">
        <f>IF(Q159 &gt; VALUE(AC159), "O " &amp; AC159, IF(Q159 &lt; VALUE(AC159), "U " &amp; AC159, AC159))</f>
        <v/>
      </c>
      <c r="AC159" s="15">
        <f>IF(OR(O159="-", P159="-"), "-", MROUND(O159 + P159, 0.5))</f>
        <v/>
      </c>
      <c r="AD159" s="15">
        <f>VALUE(TRIM(RIGHT(AF159, LEN(AF159) - FIND(" ", AF159))))</f>
        <v/>
      </c>
      <c r="AE159" s="15">
        <f>LEFT(AF159,FIND(" ",AF159)-1)</f>
        <v/>
      </c>
      <c r="AF159" s="15">
        <f>IF(OR(O159="-", P159="-"), "-",
IF(MROUND(ABS(O159-P159),0.5)&lt;=0.5,
IF(O159&gt;P159, B159 &amp; " ML", H159 &amp; " ML"),
IF(MROUND(ABS(O159-P159),0.5)=1,
IF(O159&gt;P159, H159 &amp; " +1.5", B159 &amp; " +1.5"),
IF(O159&gt;P159, B159 &amp; " -1.5", H159 &amp; " -1.5")
)
)
)</f>
        <v/>
      </c>
      <c r="AG159" s="15">
        <f>_xlfn.LET(
_xlpm.winA, O159^1.83 / (O159^1.83 + P159^1.83),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60">
      <c r="A160" s="14" t="n">
        <v>46119</v>
      </c>
      <c r="B160" s="15" t="inlineStr">
        <is>
          <t>CUBS</t>
        </is>
      </c>
      <c r="C160">
        <f>VLOOKUP(B160, 'MLB Data'!$B$5:$D$34, 3, FALSE)</f>
        <v/>
      </c>
      <c r="D160" s="16" t="inlineStr">
        <is>
          <t>ASSAD</t>
        </is>
      </c>
      <c r="E160" s="17" t="n">
        <v>4.3</v>
      </c>
      <c r="F160" s="17">
        <f>VLOOKUP(B160, 'MLB Data'!$F$2:$H$34, 3, FALSE)</f>
        <v/>
      </c>
      <c r="G160" s="17">
        <f>IF((E160*0.6+F160*0.4)&lt;2.5, 2.8, IF((E160*0.6+F160*0.4)&gt;5.5, 5.2, (E160*0.6+F160*0.4)))</f>
        <v/>
      </c>
      <c r="H160" s="15" t="inlineStr">
        <is>
          <t>RAYS</t>
        </is>
      </c>
      <c r="I160">
        <f>VLOOKUP(H160, 'MLB Data'!$B$5:$D$34, 3, FALSE)</f>
        <v/>
      </c>
      <c r="J160" s="16" t="inlineStr">
        <is>
          <t>RASMUSSEN</t>
        </is>
      </c>
      <c r="K160" s="17" t="n">
        <v>3.856</v>
      </c>
      <c r="L160" s="17">
        <f>VLOOKUP(H160, 'MLB Data'!$F$2:$H$34, 3, FALSE)</f>
        <v/>
      </c>
      <c r="M160" s="17">
        <f>IF((K160*0.6+L160*0.4)&lt;2.5, 2.8, IF((K160*0.6+L160*0.4)&gt;5.5, 5.2, (K160*0.6+L160*0.4)))</f>
        <v/>
      </c>
      <c r="O160" s="18">
        <f>(C160/100) * 4.45 * (M160 / 4.2) * T160</f>
        <v/>
      </c>
      <c r="P160" s="18">
        <f>(I160/100) * 4.45 * (G160 / 4.2) * T160</f>
        <v/>
      </c>
      <c r="Q160" s="18">
        <f>(O160+P160)</f>
        <v/>
      </c>
      <c r="S160" s="15">
        <f>H160</f>
        <v/>
      </c>
      <c r="T160" s="19">
        <f>IF(S160="ROCKIES",1.13,IF(S160="ATHLETICS",1.03,IF(S160="ROYALS",1.03,IF(S160="TWINS",1,IF(S160="TIGERS",1,IF(S160="MARLINS",1.01,IF(S160="REDS",1.05,IF(S160="RED SOX",1.04,IF(S160="YANKEES",1.02,IF(S160="DODGERS",0.99,IF(S160="PADRES",0.96,IF(S160="CUBS",0.98,IF(S160="GIANTS",0.97,IF(S160="MARINERS",0.94,IF(S160="RANGERS",1,IF(S160="ASTROS",0.99,IF(S160="BRAVES",1,IF(S160="METS",0.96,IF(S160="PHILLIES",1.02,IF(S160="BLUE JAYS",1.01,IF(S160="ORIOLES",0.99,IF(S160="RAYS",1.01,IF(S160="GUARDIANS",0.99,IF(S160="WHITE SOX",0.98,IF(S160="ANGELS",1.01,IF(S160="D-BACKS",1.01,IF(S160="BREWERS",0.99,IF(S160="CARDINALS",0.96,IF(S160="PIRATES",1.02,IF(S160="NATIONALS",1,1))))))))))))))))))))))))))))))*IF(W160="",1,(1+((W160-70)/10*0.035)))*IF(U160="DOME",1,IF(U160="IN",1-(V160*0.01),IF(U160="OUT",1+(V160*0.01),IF(OR(U160="L-R",U160="R-L"),1+(V160*0.005),1))))</f>
        <v/>
      </c>
      <c r="U160" s="15" t="inlineStr">
        <is>
          <t>IN</t>
        </is>
      </c>
      <c r="V160" s="15" t="n"/>
      <c r="W160" s="15" t="n">
        <v>70</v>
      </c>
      <c r="Y160">
        <f>B160 &amp; " vs. " &amp; H160</f>
        <v/>
      </c>
      <c r="Z160">
        <f>TRIM(LEFT(Y160, FIND("vs.", Y160)-1))</f>
        <v/>
      </c>
      <c r="AA160">
        <f>TRIM(MID(Y160, FIND(" vs. ", Y160)+4, 100))</f>
        <v/>
      </c>
      <c r="AB160">
        <f>IF(Q160 &gt; VALUE(AC160), "O " &amp; AC160, IF(Q160 &lt; VALUE(AC160), "U " &amp; AC160, AC160))</f>
        <v/>
      </c>
      <c r="AC160" s="15">
        <f>IF(OR(O160="-", P160="-"), "-", MROUND(O160 + P160, 0.5))</f>
        <v/>
      </c>
      <c r="AD160" s="15">
        <f>VALUE(TRIM(RIGHT(AF160, LEN(AF160) - FIND(" ", AF160))))</f>
        <v/>
      </c>
      <c r="AE160" s="15">
        <f>LEFT(AF160,FIND(" ",AF160)-1)</f>
        <v/>
      </c>
      <c r="AF160" s="15">
        <f>IF(OR(O160="-", P160="-"), "-",
IF(MROUND(ABS(O160-P160),0.5)&lt;=0.5,
IF(O160&gt;P160, B160 &amp; " ML", H160 &amp; " ML"),
IF(MROUND(ABS(O160-P160),0.5)=1,
IF(O160&gt;P160, H160 &amp; " +1.5", B160 &amp; " +1.5"),
IF(O160&gt;P160, B160 &amp; " -1.5", H160 &amp; " -1.5")
)
)
)</f>
        <v/>
      </c>
      <c r="AG160" s="15">
        <f>_xlfn.LET(
_xlpm.winA, O160^1.83 / (O160^1.83 + P160^1.83),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61">
      <c r="A161" s="14" t="n">
        <v>46119</v>
      </c>
      <c r="B161" s="15" t="inlineStr">
        <is>
          <t>REDS</t>
        </is>
      </c>
      <c r="C161">
        <f>VLOOKUP(B161, 'MLB Data'!$B$5:$D$34, 3, FALSE)</f>
        <v/>
      </c>
      <c r="D161" s="16" t="inlineStr">
        <is>
          <t>ABBOTT</t>
        </is>
      </c>
      <c r="E161" s="17" t="n">
        <v>4.314</v>
      </c>
      <c r="F161" s="17">
        <f>VLOOKUP(B161, 'MLB Data'!$F$2:$H$34, 3, FALSE)</f>
        <v/>
      </c>
      <c r="G161" s="17">
        <f>IF((E161*0.6+F161*0.4)&lt;2.5, 2.8, IF((E161*0.6+F161*0.4)&gt;5.5, 5.2, (E161*0.6+F161*0.4)))</f>
        <v/>
      </c>
      <c r="H161" s="15" t="inlineStr">
        <is>
          <t>MARLINS</t>
        </is>
      </c>
      <c r="I161">
        <f>VLOOKUP(H161, 'MLB Data'!$B$5:$D$34, 3, FALSE)</f>
        <v/>
      </c>
      <c r="J161" s="16" t="inlineStr">
        <is>
          <t>ALCANTARA</t>
        </is>
      </c>
      <c r="K161" s="17" t="n">
        <v>4.228</v>
      </c>
      <c r="L161" s="17">
        <f>VLOOKUP(H161, 'MLB Data'!$F$2:$H$34, 3, FALSE)</f>
        <v/>
      </c>
      <c r="M161" s="17">
        <f>IF((K161*0.6+L161*0.4)&lt;2.5, 2.8, IF((K161*0.6+L161*0.4)&gt;5.5, 5.2, (K161*0.6+L161*0.4)))</f>
        <v/>
      </c>
      <c r="O161" s="18">
        <f>(C161/100) * 4.45 * (M161 / 4.2) * T161</f>
        <v/>
      </c>
      <c r="P161" s="18">
        <f>(I161/100) * 4.45 * (G161 / 4.2) * T161</f>
        <v/>
      </c>
      <c r="Q161" s="18">
        <f>(O161+P161)</f>
        <v/>
      </c>
      <c r="S161" s="15">
        <f>H161</f>
        <v/>
      </c>
      <c r="T161" s="19">
        <f>IF(S161="ROCKIES",1.13,IF(S161="ATHLETICS",1.03,IF(S161="ROYALS",1.03,IF(S161="TWINS",1,IF(S161="TIGERS",1,IF(S161="MARLINS",1.01,IF(S161="REDS",1.05,IF(S161="RED SOX",1.04,IF(S161="YANKEES",1.02,IF(S161="DODGERS",0.99,IF(S161="PADRES",0.96,IF(S161="CUBS",0.98,IF(S161="GIANTS",0.97,IF(S161="MARINERS",0.94,IF(S161="RANGERS",1,IF(S161="ASTROS",0.99,IF(S161="BRAVES",1,IF(S161="METS",0.96,IF(S161="PHILLIES",1.02,IF(S161="BLUE JAYS",1.01,IF(S161="ORIOLES",0.99,IF(S161="RAYS",1.01,IF(S161="GUARDIANS",0.99,IF(S161="WHITE SOX",0.98,IF(S161="ANGELS",1.01,IF(S161="D-BACKS",1.01,IF(S161="BREWERS",0.99,IF(S161="CARDINALS",0.96,IF(S161="PIRATES",1.02,IF(S161="NATIONALS",1,1))))))))))))))))))))))))))))))*IF(W161="",1,(1+((W161-70)/10*0.035)))*IF(U161="DOME",1,IF(U161="IN",1-(V161*0.01),IF(U161="OUT",1+(V161*0.01),IF(OR(U161="L-R",U161="R-L"),1+(V161*0.005),1))))</f>
        <v/>
      </c>
      <c r="U161" s="15" t="inlineStr">
        <is>
          <t>DOME</t>
        </is>
      </c>
      <c r="V161" s="15" t="n"/>
      <c r="W161" s="15" t="n">
        <v>76</v>
      </c>
      <c r="Y161">
        <f>B161 &amp; " vs. " &amp; H161</f>
        <v/>
      </c>
      <c r="Z161">
        <f>TRIM(LEFT(Y161, FIND("vs.", Y161)-1))</f>
        <v/>
      </c>
      <c r="AA161">
        <f>TRIM(MID(Y161, FIND(" vs. ", Y161)+4, 100))</f>
        <v/>
      </c>
      <c r="AB161">
        <f>IF(Q161 &gt; VALUE(AC161), "O " &amp; AC161, IF(Q161 &lt; VALUE(AC161), "U " &amp; AC161, AC161))</f>
        <v/>
      </c>
      <c r="AC161" s="15">
        <f>IF(OR(O161="-", P161="-"), "-", MROUND(O161 + P161, 0.5))</f>
        <v/>
      </c>
      <c r="AD161" s="15">
        <f>VALUE(TRIM(RIGHT(AF161, LEN(AF161) - FIND(" ", AF161))))</f>
        <v/>
      </c>
      <c r="AE161" s="15">
        <f>LEFT(AF161,FIND(" ",AF161)-1)</f>
        <v/>
      </c>
      <c r="AF161" s="15">
        <f>IF(OR(O161="-", P161="-"), "-",
IF(MROUND(ABS(O161-P161),0.5)&lt;=0.5,
IF(O161&gt;P161, B161 &amp; " ML", H161 &amp; " ML"),
IF(MROUND(ABS(O161-P161),0.5)=1,
IF(O161&gt;P161, H161 &amp; " +1.5", B161 &amp; " +1.5"),
IF(O161&gt;P161, B161 &amp; " -1.5", H161 &amp; " -1.5")
)
)
)</f>
        <v/>
      </c>
      <c r="AG161" s="15">
        <f>_xlfn.LET(
_xlpm.winA, O161^1.83 / (O161^1.83 + P161^1.83),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62">
      <c r="A162" s="14" t="n">
        <v>46119</v>
      </c>
      <c r="B162" s="15" t="inlineStr">
        <is>
          <t>CARDINALS</t>
        </is>
      </c>
      <c r="C162">
        <f>VLOOKUP(B162, 'MLB Data'!$B$5:$D$34, 3, FALSE)</f>
        <v/>
      </c>
      <c r="D162" s="16" t="inlineStr">
        <is>
          <t>LIBERATORE</t>
        </is>
      </c>
      <c r="E162" s="17" t="n">
        <v>4.4</v>
      </c>
      <c r="F162" s="17">
        <f>VLOOKUP(B162, 'MLB Data'!$F$2:$H$34, 3, FALSE)</f>
        <v/>
      </c>
      <c r="G162" s="17">
        <f>IF((E162*0.6+F162*0.4)&lt;2.5, 2.8, IF((E162*0.6+F162*0.4)&gt;5.5, 5.2, (E162*0.6+F162*0.4)))</f>
        <v/>
      </c>
      <c r="H162" s="15" t="inlineStr">
        <is>
          <t>NATIONALS</t>
        </is>
      </c>
      <c r="I162">
        <f>VLOOKUP(H162, 'MLB Data'!$B$5:$D$34, 3, FALSE)</f>
        <v/>
      </c>
      <c r="J162" s="16" t="inlineStr">
        <is>
          <t>CAVALLI</t>
        </is>
      </c>
      <c r="K162" s="17" t="n">
        <v>4.336</v>
      </c>
      <c r="L162" s="17">
        <f>VLOOKUP(H162, 'MLB Data'!$F$2:$H$34, 3, FALSE)</f>
        <v/>
      </c>
      <c r="M162" s="17">
        <f>IF((K162*0.6+L162*0.4)&lt;2.5, 2.8, IF((K162*0.6+L162*0.4)&gt;5.5, 5.2, (K162*0.6+L162*0.4)))</f>
        <v/>
      </c>
      <c r="O162" s="18">
        <f>(C162/100) * 4.45 * (M162 / 4.2) * T162</f>
        <v/>
      </c>
      <c r="P162" s="18">
        <f>(I162/100) * 4.45 * (G162 / 4.2) * T162</f>
        <v/>
      </c>
      <c r="Q162" s="18">
        <f>(O162+P162)</f>
        <v/>
      </c>
      <c r="S162" s="15">
        <f>H162</f>
        <v/>
      </c>
      <c r="T162" s="19">
        <f>IF(S162="ROCKIES",1.13,IF(S162="ATHLETICS",1.03,IF(S162="ROYALS",1.03,IF(S162="TWINS",1,IF(S162="TIGERS",1,IF(S162="MARLINS",1.01,IF(S162="REDS",1.05,IF(S162="RED SOX",1.04,IF(S162="YANKEES",1.02,IF(S162="DODGERS",0.99,IF(S162="PADRES",0.96,IF(S162="CUBS",0.98,IF(S162="GIANTS",0.97,IF(S162="MARINERS",0.94,IF(S162="RANGERS",1,IF(S162="ASTROS",0.99,IF(S162="BRAVES",1,IF(S162="METS",0.96,IF(S162="PHILLIES",1.02,IF(S162="BLUE JAYS",1.01,IF(S162="ORIOLES",0.99,IF(S162="RAYS",1.01,IF(S162="GUARDIANS",0.99,IF(S162="WHITE SOX",0.98,IF(S162="ANGELS",1.01,IF(S162="D-BACKS",1.01,IF(S162="BREWERS",0.99,IF(S162="CARDINALS",0.96,IF(S162="PIRATES",1.02,IF(S162="NATIONALS",1,1))))))))))))))))))))))))))))))*IF(W162="",1,(1+((W162-70)/10*0.035)))*IF(U162="DOME",1,IF(U162="IN",1-(V162*0.01),IF(U162="OUT",1+(V162*0.01),IF(OR(U162="L-R",U162="R-L"),1+(V162*0.005),1))))</f>
        <v/>
      </c>
      <c r="U162" s="15" t="inlineStr">
        <is>
          <t>IN</t>
        </is>
      </c>
      <c r="V162" s="15" t="n"/>
      <c r="W162" s="15" t="n">
        <v>49</v>
      </c>
      <c r="Y162">
        <f>B162 &amp; " vs. " &amp; H162</f>
        <v/>
      </c>
      <c r="Z162">
        <f>TRIM(LEFT(Y162, FIND("vs.", Y162)-1))</f>
        <v/>
      </c>
      <c r="AA162">
        <f>TRIM(MID(Y162, FIND(" vs. ", Y162)+4, 100))</f>
        <v/>
      </c>
      <c r="AB162">
        <f>IF(Q162 &gt; VALUE(AC162), "O " &amp; AC162, IF(Q162 &lt; VALUE(AC162), "U " &amp; AC162, AC162))</f>
        <v/>
      </c>
      <c r="AC162" s="15">
        <f>IF(OR(O162="-", P162="-"), "-", MROUND(O162 + P162, 0.5))</f>
        <v/>
      </c>
      <c r="AD162" s="15">
        <f>VALUE(TRIM(RIGHT(AF162, LEN(AF162) - FIND(" ", AF162))))</f>
        <v/>
      </c>
      <c r="AE162" s="15">
        <f>LEFT(AF162,FIND(" ",AF162)-1)</f>
        <v/>
      </c>
      <c r="AF162" s="15">
        <f>IF(OR(O162="-", P162="-"), "-",
    IF(MROUND(ABS(O162-P162),0.5)&lt;=0.5,
        IF(O162&gt;P162, B162 &amp; " ML", H162 &amp; " ML"),
        IF(MROUND(ABS(O162-P162),0.5)=1,
            IF(O162&gt;P162, H162 &amp; " +1.5", B162 &amp; " +1.5"),
            IF(O162&gt;P162, B162 &amp; " -1.5", H162 &amp; " -1.5")
        )
    )
)</f>
        <v/>
      </c>
      <c r="AG162" s="15">
        <f>_xlfn.LET(
    _xlpm.winA, O162^1.83 / (O162^1.83 + P162^1.83),
    _xlpm.winB, 1 - _xlpm.winA,
    _xlpm.oddsA, IF(_xlpm.winA &gt;= 0.5, "-" &amp; ROUND(_xlpm.winA / (1 - _xlpm.winA) * 100, 0), "+" &amp; ROUND((1 - _xlpm.winA) / _xlpm.winA * 100, 0)),
    _xlpm.oddsB, IF(_xlpm.winB &gt;= 0.5, "-" &amp; ROUND(_xlpm.winB / (1 - _xlpm.winB) * 100, 0), "+" &amp; ROUND((1 - _xlpm.winB) / _xlpm.winB * 100, 0)),
    _xlpm.oddsA &amp; " / " &amp; _xlpm.oddsB
)</f>
        <v/>
      </c>
    </row>
    <row r="163">
      <c r="A163" s="14" t="n">
        <v>46119</v>
      </c>
      <c r="B163" s="15" t="inlineStr">
        <is>
          <t>BREWERS</t>
        </is>
      </c>
      <c r="C163">
        <f>VLOOKUP(B163, 'MLB Data'!$B$5:$D$34, 3, FALSE)</f>
        <v/>
      </c>
      <c r="D163" s="16" t="inlineStr">
        <is>
          <t>MISIOROWSKI</t>
        </is>
      </c>
      <c r="E163" s="17" t="n">
        <v>3.712</v>
      </c>
      <c r="F163" s="17">
        <f>VLOOKUP(B163, 'MLB Data'!$F$2:$H$34, 3, FALSE)</f>
        <v/>
      </c>
      <c r="G163" s="17">
        <f>IF((E163*0.6+F163*0.4)&lt;2.5, 2.8, IF((E163*0.6+F163*0.4)&gt;5.5, 5.2, (E163*0.6+F163*0.4)))</f>
        <v/>
      </c>
      <c r="H163" s="15" t="inlineStr">
        <is>
          <t>RED SOX</t>
        </is>
      </c>
      <c r="I163">
        <f>VLOOKUP(H163, 'MLB Data'!$B$5:$D$34, 3, FALSE)</f>
        <v/>
      </c>
      <c r="J163" s="16" t="inlineStr">
        <is>
          <t>CROCHET</t>
        </is>
      </c>
      <c r="K163" s="17" t="n">
        <v>2.966</v>
      </c>
      <c r="L163" s="17">
        <f>VLOOKUP(H163, 'MLB Data'!$F$2:$H$34, 3, FALSE)</f>
        <v/>
      </c>
      <c r="M163" s="17">
        <f>IF((K163*0.6+L163*0.4)&lt;2.5, 2.8, IF((K163*0.6+L163*0.4)&gt;5.5, 5.2, (K163*0.6+L163*0.4)))</f>
        <v/>
      </c>
      <c r="O163" s="18">
        <f>(C163/100) * 4.45 * (M163 / 4.2) * T163</f>
        <v/>
      </c>
      <c r="P163" s="18">
        <f>(I163/100) * 4.45 * (G163 / 4.2) * T163</f>
        <v/>
      </c>
      <c r="Q163" s="18">
        <f>(O163+P163)</f>
        <v/>
      </c>
      <c r="S163" s="15">
        <f>H163</f>
        <v/>
      </c>
      <c r="T163" s="19">
        <f>IF(S163="ROCKIES",1.13,IF(S163="ATHLETICS",1.03,IF(S163="ROYALS",1.03,IF(S163="TWINS",1,IF(S163="TIGERS",1,IF(S163="MARLINS",1.01,IF(S163="REDS",1.05,IF(S163="RED SOX",1.04,IF(S163="YANKEES",1.02,IF(S163="DODGERS",0.99,IF(S163="PADRES",0.96,IF(S163="CUBS",0.98,IF(S163="GIANTS",0.97,IF(S163="MARINERS",0.94,IF(S163="RANGERS",1,IF(S163="ASTROS",0.99,IF(S163="BRAVES",1,IF(S163="METS",0.96,IF(S163="PHILLIES",1.02,IF(S163="BLUE JAYS",1.01,IF(S163="ORIOLES",0.99,IF(S163="RAYS",1.01,IF(S163="GUARDIANS",0.99,IF(S163="WHITE SOX",0.98,IF(S163="ANGELS",1.01,IF(S163="D-BACKS",1.01,IF(S163="BREWERS",0.99,IF(S163="CARDINALS",0.96,IF(S163="PIRATES",1.02,IF(S163="NATIONALS",1,1))))))))))))))))))))))))))))))*IF(W163="",1,(1+((W163-70)/10*0.035)))*IF(U163="DOME",1,IF(U163="IN",1-(V163*0.01),IF(U163="OUT",1+(V163*0.01),IF(OR(U163="L-R",U163="R-L"),1+(V163*0.005),1))))</f>
        <v/>
      </c>
      <c r="U163" s="15" t="inlineStr">
        <is>
          <t>OUT</t>
        </is>
      </c>
      <c r="V163" s="15" t="n"/>
      <c r="W163" s="15" t="n">
        <v>39</v>
      </c>
      <c r="Y163">
        <f>B163 &amp; " vs. " &amp; H163</f>
        <v/>
      </c>
      <c r="Z163">
        <f>TRIM(LEFT(Y163, FIND("vs.", Y163)-1))</f>
        <v/>
      </c>
      <c r="AA163">
        <f>TRIM(MID(Y163, FIND(" vs. ", Y163)+4, 100))</f>
        <v/>
      </c>
      <c r="AB163">
        <f>IF(Q163 &gt; VALUE(AC163), "O " &amp; AC163, IF(Q163 &lt; VALUE(AC163), "U " &amp; AC163, AC163))</f>
        <v/>
      </c>
      <c r="AC163" s="15">
        <f>IF(OR(O163="-", P163="-"), "-", MROUND(O163 + P163, 0.5))</f>
        <v/>
      </c>
      <c r="AD163" s="15">
        <f>VALUE(TRIM(RIGHT(AF163, LEN(AF163) - FIND(" ", AF163))))</f>
        <v/>
      </c>
      <c r="AE163" s="15">
        <f>LEFT(AF163,FIND(" ",AF163)-1)</f>
        <v/>
      </c>
      <c r="AF163" s="15">
        <f>IF(OR(O163="-", P163="-"), "-",
IF(MROUND(ABS(O163-P163),0.5)&lt;=0.5,
IF(O163&gt;P163, B163 &amp; " ML", H163 &amp; " ML"),
IF(MROUND(ABS(O163-P163),0.5)=1,
IF(O163&gt;P163, H163 &amp; " +1.5", B163 &amp; " +1.5"),
IF(O163&gt;P163, B163 &amp; " -1.5", H163 &amp; " -1.5")
)
)
)</f>
        <v/>
      </c>
      <c r="AG163" s="15">
        <f>_xlfn.LET(
_xlpm.winA, O163^1.83 / (O163^1.83 + P163^1.83),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64">
      <c r="A164" s="14" t="n">
        <v>46119</v>
      </c>
      <c r="B164" s="15" t="inlineStr">
        <is>
          <t>ATHLETICS</t>
        </is>
      </c>
      <c r="C164">
        <f>VLOOKUP(B164, 'MLB Data'!$B$5:$D$34, 3, FALSE)</f>
        <v/>
      </c>
      <c r="D164" s="16" t="inlineStr">
        <is>
          <t>CIVALE</t>
        </is>
      </c>
      <c r="E164" s="17" t="n">
        <v>4.752000000000001</v>
      </c>
      <c r="F164" s="17">
        <f>VLOOKUP(B164, 'MLB Data'!$F$2:$H$34, 3, FALSE)</f>
        <v/>
      </c>
      <c r="G164" s="17">
        <f>IF((E164*0.6+F164*0.4)&lt;2.5, 2.8, IF((E164*0.6+F164*0.4)&gt;5.5, 5.2, (E164*0.6+F164*0.4)))</f>
        <v/>
      </c>
      <c r="H164" s="15" t="inlineStr">
        <is>
          <t>YANKEES</t>
        </is>
      </c>
      <c r="I164">
        <f>VLOOKUP(H164, 'MLB Data'!$B$5:$D$34, 3, FALSE)</f>
        <v/>
      </c>
      <c r="J164" s="16" t="inlineStr">
        <is>
          <t>SCHLITTLLER</t>
        </is>
      </c>
      <c r="K164" s="17" t="n">
        <v>3.534</v>
      </c>
      <c r="L164" s="17">
        <f>VLOOKUP(H164, 'MLB Data'!$F$2:$H$34, 3, FALSE)</f>
        <v/>
      </c>
      <c r="M164" s="17">
        <f>IF((K164*0.6+L164*0.4)&lt;2.5, 2.8, IF((K164*0.6+L164*0.4)&gt;5.5, 5.2, (K164*0.6+L164*0.4)))</f>
        <v/>
      </c>
      <c r="O164" s="18">
        <f>(C164/100) * 4.45 * (M164 / 4.2) * T164</f>
        <v/>
      </c>
      <c r="P164" s="18">
        <f>(I164/100) * 4.45 * (G164 / 4.2) * T164</f>
        <v/>
      </c>
      <c r="Q164" s="18">
        <f>(O164+P164)</f>
        <v/>
      </c>
      <c r="S164" s="15">
        <f>H164</f>
        <v/>
      </c>
      <c r="T164" s="19">
        <f>IF(S164="ROCKIES",1.13,IF(S164="ATHLETICS",1.03,IF(S164="ROYALS",1.03,IF(S164="TWINS",1,IF(S164="TIGERS",1,IF(S164="MARLINS",1.01,IF(S164="REDS",1.05,IF(S164="RED SOX",1.04,IF(S164="YANKEES",1.02,IF(S164="DODGERS",0.99,IF(S164="PADRES",0.96,IF(S164="CUBS",0.98,IF(S164="GIANTS",0.97,IF(S164="MARINERS",0.94,IF(S164="RANGERS",1,IF(S164="ASTROS",0.99,IF(S164="BRAVES",1,IF(S164="METS",0.96,IF(S164="PHILLIES",1.02,IF(S164="BLUE JAYS",1.01,IF(S164="ORIOLES",0.99,IF(S164="RAYS",1.01,IF(S164="GUARDIANS",0.99,IF(S164="WHITE SOX",0.98,IF(S164="ANGELS",1.01,IF(S164="D-BACKS",1.01,IF(S164="BREWERS",0.99,IF(S164="CARDINALS",0.96,IF(S164="PIRATES",1.02,IF(S164="NATIONALS",1,1))))))))))))))))))))))))))))))*IF(W164="",1,(1+((W164-70)/10*0.035)))*IF(U164="DOME",1,IF(U164="IN",1-(V164*0.01),IF(U164="OUT",1+(V164*0.01),IF(OR(U164="L-R",U164="R-L"),1+(V164*0.005),1))))</f>
        <v/>
      </c>
      <c r="U164" s="15" t="inlineStr">
        <is>
          <t>OUT</t>
        </is>
      </c>
      <c r="V164" s="15" t="n"/>
      <c r="W164" s="15" t="n">
        <v>43</v>
      </c>
      <c r="Y164">
        <f>B164 &amp; " vs. " &amp; H164</f>
        <v/>
      </c>
      <c r="Z164">
        <f>TRIM(LEFT(Y164, FIND("vs.", Y164)-1))</f>
        <v/>
      </c>
      <c r="AA164">
        <f>TRIM(MID(Y164, FIND(" vs. ", Y164)+4, 100))</f>
        <v/>
      </c>
      <c r="AB164">
        <f>IF(Q164 &gt; VALUE(AC164), "O " &amp; AC164, IF(Q164 &lt; VALUE(AC164), "U " &amp; AC164, AC164))</f>
        <v/>
      </c>
      <c r="AC164" s="15">
        <f>IF(OR(O164="-", P164="-"), "-", MROUND(O164 + P164, 0.5))</f>
        <v/>
      </c>
      <c r="AD164" s="15">
        <f>VALUE(TRIM(RIGHT(AF164, LEN(AF164) - FIND(" ", AF164))))</f>
        <v/>
      </c>
      <c r="AE164" s="15">
        <f>LEFT(AF164,FIND(" ",AF164)-1)</f>
        <v/>
      </c>
      <c r="AF164" s="15">
        <f>IF(OR(O164="-", P164="-"), "-",
IF(MROUND(ABS(O164-P164),0.5)&lt;=0.5,
IF(O164&gt;P164, B164 &amp; " ML", H164 &amp; " ML"),
IF(MROUND(ABS(O164-P164),0.5)=1,
IF(O164&gt;P164, H164 &amp; " +1.5", B164 &amp; " +1.5"),
IF(O164&gt;P164, B164 &amp; " -1.5", H164 &amp; " -1.5")
)
)
)</f>
        <v/>
      </c>
      <c r="AG164" s="15">
        <f>_xlfn.LET(
_xlpm.winA, O164^1.83 / (O164^1.83 + P164^1.83),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65">
      <c r="A165" s="14" t="n">
        <v>46119</v>
      </c>
      <c r="B165" s="15" t="inlineStr">
        <is>
          <t>DODGERS</t>
        </is>
      </c>
      <c r="C165">
        <f>VLOOKUP(B165, 'MLB Data'!$B$5:$D$34, 3, FALSE)</f>
        <v/>
      </c>
      <c r="D165" s="16" t="inlineStr">
        <is>
          <t>YAMAMOTO</t>
        </is>
      </c>
      <c r="E165" s="17" t="n">
        <v>3.46</v>
      </c>
      <c r="F165" s="17">
        <f>VLOOKUP(B165, 'MLB Data'!$F$2:$H$34, 3, FALSE)</f>
        <v/>
      </c>
      <c r="G165" s="17">
        <f>IF((E165*0.6+F165*0.4)&lt;2.5, 2.8, IF((E165*0.6+F165*0.4)&gt;5.5, 5.2, (E165*0.6+F165*0.4)))</f>
        <v/>
      </c>
      <c r="H165" s="15" t="inlineStr">
        <is>
          <t>BLUE JAYS</t>
        </is>
      </c>
      <c r="I165">
        <f>VLOOKUP(H165, 'MLB Data'!$B$5:$D$34, 3, FALSE)</f>
        <v/>
      </c>
      <c r="J165" s="16" t="inlineStr">
        <is>
          <t>GAUSMAN</t>
        </is>
      </c>
      <c r="K165" s="17" t="n">
        <v>3.188</v>
      </c>
      <c r="L165" s="17">
        <f>VLOOKUP(H165, 'MLB Data'!$F$2:$H$34, 3, FALSE)</f>
        <v/>
      </c>
      <c r="M165" s="17">
        <f>IF((K165*0.6+L165*0.4)&lt;2.5, 2.8, IF((K165*0.6+L165*0.4)&gt;5.5, 5.2, (K165*0.6+L165*0.4)))</f>
        <v/>
      </c>
      <c r="O165" s="18">
        <f>(C165/100) * 4.45 * (M165 / 4.2) * T165</f>
        <v/>
      </c>
      <c r="P165" s="18">
        <f>(I165/100) * 4.45 * (G165 / 4.2) * T165</f>
        <v/>
      </c>
      <c r="Q165" s="18">
        <f>(O165+P165)</f>
        <v/>
      </c>
      <c r="S165" s="15">
        <f>H165</f>
        <v/>
      </c>
      <c r="T165" s="19">
        <f>IF(S165="ROCKIES",1.13,IF(S165="ATHLETICS",1.03,IF(S165="ROYALS",1.03,IF(S165="TWINS",1,IF(S165="TIGERS",1,IF(S165="MARLINS",1.01,IF(S165="REDS",1.05,IF(S165="RED SOX",1.04,IF(S165="YANKEES",1.02,IF(S165="DODGERS",0.99,IF(S165="PADRES",0.96,IF(S165="CUBS",0.98,IF(S165="GIANTS",0.97,IF(S165="MARINERS",0.94,IF(S165="RANGERS",1,IF(S165="ASTROS",0.99,IF(S165="BRAVES",1,IF(S165="METS",0.96,IF(S165="PHILLIES",1.02,IF(S165="BLUE JAYS",1.01,IF(S165="ORIOLES",0.99,IF(S165="RAYS",1.01,IF(S165="GUARDIANS",0.99,IF(S165="WHITE SOX",0.98,IF(S165="ANGELS",1.01,IF(S165="D-BACKS",1.01,IF(S165="BREWERS",0.99,IF(S165="CARDINALS",0.96,IF(S165="PIRATES",1.02,IF(S165="NATIONALS",1,1))))))))))))))))))))))))))))))*IF(W165="",1,(1+((W165-70)/10*0.035)))*IF(U165="DOME",1,IF(U165="IN",1-(V165*0.01),IF(U165="OUT",1+(V165*0.01),IF(OR(U165="L-R",U165="R-L"),1+(V165*0.005),1))))</f>
        <v/>
      </c>
      <c r="U165" s="15" t="inlineStr">
        <is>
          <t>DOME</t>
        </is>
      </c>
      <c r="V165" s="15" t="n"/>
      <c r="W165" s="15" t="n">
        <v>31</v>
      </c>
      <c r="Y165">
        <f>B165 &amp; " vs. " &amp; H165</f>
        <v/>
      </c>
      <c r="Z165">
        <f>TRIM(LEFT(Y165, FIND("vs.", Y165)-1))</f>
        <v/>
      </c>
      <c r="AA165">
        <f>TRIM(MID(Y165, FIND(" vs. ", Y165)+4, 100))</f>
        <v/>
      </c>
      <c r="AB165">
        <f>IF(Q165 &gt; VALUE(AC165), "O " &amp; AC165, IF(Q165 &lt; VALUE(AC165), "U " &amp; AC165, AC165))</f>
        <v/>
      </c>
      <c r="AC165" s="15">
        <f>IF(OR(O165="-", P165="-"), "-", MROUND(O165 + P165, 0.5))</f>
        <v/>
      </c>
      <c r="AD165" s="15">
        <f>VALUE(TRIM(RIGHT(AF165, LEN(AF165) - FIND(" ", AF165))))</f>
        <v/>
      </c>
      <c r="AE165" s="15">
        <f>LEFT(AF165,FIND(" ",AF165)-1)</f>
        <v/>
      </c>
      <c r="AF165" s="15">
        <f>IF(OR(O165="-", P165="-"), "-",
IF(MROUND(ABS(O165-P165),0.5)&lt;=0.5,
IF(O165&gt;P165, B165 &amp; " ML", H165 &amp; " ML"),
IF(MROUND(ABS(O165-P165),0.5)=1,
IF(O165&gt;P165, H165 &amp; " +1.5", B165 &amp; " +1.5"),
IF(O165&gt;P165, B165 &amp; " -1.5", H165 &amp; " -1.5")
)
)
)</f>
        <v/>
      </c>
      <c r="AG165" s="15">
        <f>_xlfn.LET(
_xlpm.winA, O165^1.83 / (O165^1.83 + P165^1.83),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66">
      <c r="A166" s="14" t="n">
        <v>46119</v>
      </c>
      <c r="B166" s="15" t="inlineStr">
        <is>
          <t>TIGERS</t>
        </is>
      </c>
      <c r="C166">
        <f>VLOOKUP(B166, 'MLB Data'!$B$5:$D$34, 3, FALSE)</f>
        <v/>
      </c>
      <c r="D166" s="16" t="inlineStr">
        <is>
          <t>SKUBAL</t>
        </is>
      </c>
      <c r="E166" s="17" t="n">
        <v>2.552</v>
      </c>
      <c r="F166" s="17">
        <f>VLOOKUP(B166, 'MLB Data'!$F$2:$H$34, 3, FALSE)</f>
        <v/>
      </c>
      <c r="G166" s="17">
        <f>IF((E166*0.6+F166*0.4)&lt;2.5, 2.8, IF((E166*0.6+F166*0.4)&gt;5.5, 5.2, (E166*0.6+F166*0.4)))</f>
        <v/>
      </c>
      <c r="H166" s="15" t="inlineStr">
        <is>
          <t>TWINS</t>
        </is>
      </c>
      <c r="I166">
        <f>VLOOKUP(H166, 'MLB Data'!$B$5:$D$34, 3, FALSE)</f>
        <v/>
      </c>
      <c r="J166" s="16" t="inlineStr">
        <is>
          <t>BRADLEY</t>
        </is>
      </c>
      <c r="K166" s="17" t="n">
        <v>4.250000000000001</v>
      </c>
      <c r="L166" s="17">
        <f>VLOOKUP(H166, 'MLB Data'!$F$2:$H$34, 3, FALSE)</f>
        <v/>
      </c>
      <c r="M166" s="17">
        <f>IF((K166*0.6+L166*0.4)&lt;2.5, 2.8, IF((K166*0.6+L166*0.4)&gt;5.5, 5.2, (K166*0.6+L166*0.4)))</f>
        <v/>
      </c>
      <c r="O166" s="18">
        <f>(C166/100) * 4.45 * (M166 / 4.2) * T166</f>
        <v/>
      </c>
      <c r="P166" s="18">
        <f>(I166/100) * 4.45 * (G166 / 4.2) * T166</f>
        <v/>
      </c>
      <c r="Q166" s="18">
        <f>(O166+P166)</f>
        <v/>
      </c>
      <c r="S166" s="15">
        <f>H166</f>
        <v/>
      </c>
      <c r="T166" s="19">
        <f>IF(S166="ROCKIES",1.13,IF(S166="ATHLETICS",1.03,IF(S166="ROYALS",1.03,IF(S166="TWINS",1,IF(S166="TIGERS",1,IF(S166="MARLINS",1.01,IF(S166="REDS",1.05,IF(S166="RED SOX",1.04,IF(S166="YANKEES",1.02,IF(S166="DODGERS",0.99,IF(S166="PADRES",0.96,IF(S166="CUBS",0.98,IF(S166="GIANTS",0.97,IF(S166="MARINERS",0.94,IF(S166="RANGERS",1,IF(S166="ASTROS",0.99,IF(S166="BRAVES",1,IF(S166="METS",0.96,IF(S166="PHILLIES",1.02,IF(S166="BLUE JAYS",1.01,IF(S166="ORIOLES",0.99,IF(S166="RAYS",1.01,IF(S166="GUARDIANS",0.99,IF(S166="WHITE SOX",0.98,IF(S166="ANGELS",1.01,IF(S166="D-BACKS",1.01,IF(S166="BREWERS",0.99,IF(S166="CARDINALS",0.96,IF(S166="PIRATES",1.02,IF(S166="NATIONALS",1,1))))))))))))))))))))))))))))))*IF(W166="",1,(1+((W166-70)/10*0.035)))*IF(U166="DOME",1,IF(U166="IN",1-(V166*0.01),IF(U166="OUT",1+(V166*0.01),IF(OR(U166="L-R",U166="R-L"),1+(V166*0.005),1))))</f>
        <v/>
      </c>
      <c r="U166" s="15" t="inlineStr">
        <is>
          <t>L-R</t>
        </is>
      </c>
      <c r="V166" s="15" t="n"/>
      <c r="W166" s="15" t="n">
        <v>44</v>
      </c>
      <c r="Y166">
        <f>B166 &amp; " vs. " &amp; H166</f>
        <v/>
      </c>
      <c r="Z166">
        <f>TRIM(LEFT(Y166, FIND("vs.", Y166)-1))</f>
        <v/>
      </c>
      <c r="AA166">
        <f>TRIM(MID(Y166, FIND(" vs. ", Y166)+4, 100))</f>
        <v/>
      </c>
      <c r="AB166">
        <f>IF(Q166 &gt; VALUE(AC166), "O " &amp; AC166, IF(Q166 &lt; VALUE(AC166), "U " &amp; AC166, AC166))</f>
        <v/>
      </c>
      <c r="AC166" s="15">
        <f>IF(OR(O166="-", P166="-"), "-", MROUND(O166 + P166, 0.5))</f>
        <v/>
      </c>
      <c r="AD166" s="15">
        <f>VALUE(TRIM(RIGHT(AF166, LEN(AF166) - FIND(" ", AF166))))</f>
        <v/>
      </c>
      <c r="AE166" s="15">
        <f>LEFT(AF166,FIND(" ",AF166)-1)</f>
        <v/>
      </c>
      <c r="AF166" s="15">
        <f>IF(OR(O166="-", P166="-"), "-",
IF(MROUND(ABS(O166-P166),0.5)&lt;=0.5,
IF(O166&gt;P166, B166 &amp; " ML", H166 &amp; " ML"),
IF(MROUND(ABS(O166-P166),0.5)=1,
IF(O166&gt;P166, H166 &amp; " +1.5", B166 &amp; " +1.5"),
IF(O166&gt;P166, B166 &amp; " -1.5", H166 &amp; " -1.5")
)
)
)</f>
        <v/>
      </c>
      <c r="AG166" s="15">
        <f>_xlfn.LET(
_xlpm.winA, O166^1.83 / (O166^1.83 + P166^1.83),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67">
      <c r="A167" s="14" t="n">
        <v>46119</v>
      </c>
      <c r="B167" s="15" t="inlineStr">
        <is>
          <t>MARINERS</t>
        </is>
      </c>
      <c r="C167">
        <f>VLOOKUP(B167, 'MLB Data'!$B$5:$D$34, 3, FALSE)</f>
        <v/>
      </c>
      <c r="D167" s="16" t="inlineStr">
        <is>
          <t>KIRBY</t>
        </is>
      </c>
      <c r="E167" s="17" t="n">
        <v>3.582</v>
      </c>
      <c r="F167" s="17">
        <f>VLOOKUP(B167, 'MLB Data'!$F$2:$H$34, 3, FALSE)</f>
        <v/>
      </c>
      <c r="G167" s="17">
        <f>IF((E167*0.6+F167*0.4)&lt;2.5, 2.8, IF((E167*0.6+F167*0.4)&gt;5.5, 5.2, (E167*0.6+F167*0.4)))</f>
        <v/>
      </c>
      <c r="H167" s="15" t="inlineStr">
        <is>
          <t>RANGERS</t>
        </is>
      </c>
      <c r="I167">
        <f>VLOOKUP(H167, 'MLB Data'!$B$5:$D$34, 3, FALSE)</f>
        <v/>
      </c>
      <c r="J167" s="16" t="inlineStr">
        <is>
          <t>EOVALDI</t>
        </is>
      </c>
      <c r="K167" s="17" t="n">
        <v>3.736</v>
      </c>
      <c r="L167" s="17">
        <f>VLOOKUP(H167, 'MLB Data'!$F$2:$H$34, 3, FALSE)</f>
        <v/>
      </c>
      <c r="M167" s="17">
        <f>IF((K167*0.6+L167*0.4)&lt;2.5, 2.8, IF((K167*0.6+L167*0.4)&gt;5.5, 5.2, (K167*0.6+L167*0.4)))</f>
        <v/>
      </c>
      <c r="O167" s="18">
        <f>(C167/100) * 4.45 * (M167 / 4.2) * T167</f>
        <v/>
      </c>
      <c r="P167" s="18">
        <f>(I167/100) * 4.45 * (G167 / 4.2) * T167</f>
        <v/>
      </c>
      <c r="Q167" s="18">
        <f>(O167+P167)</f>
        <v/>
      </c>
      <c r="S167" s="15">
        <f>H167</f>
        <v/>
      </c>
      <c r="T167" s="19">
        <f>IF(S167="ROCKIES",1.13,IF(S167="ATHLETICS",1.03,IF(S167="ROYALS",1.03,IF(S167="TWINS",1,IF(S167="TIGERS",1,IF(S167="MARLINS",1.01,IF(S167="REDS",1.05,IF(S167="RED SOX",1.04,IF(S167="YANKEES",1.02,IF(S167="DODGERS",0.99,IF(S167="PADRES",0.96,IF(S167="CUBS",0.98,IF(S167="GIANTS",0.97,IF(S167="MARINERS",0.94,IF(S167="RANGERS",1,IF(S167="ASTROS",0.99,IF(S167="BRAVES",1,IF(S167="METS",0.96,IF(S167="PHILLIES",1.02,IF(S167="BLUE JAYS",1.01,IF(S167="ORIOLES",0.99,IF(S167="RAYS",1.01,IF(S167="GUARDIANS",0.99,IF(S167="WHITE SOX",0.98,IF(S167="ANGELS",1.01,IF(S167="D-BACKS",1.01,IF(S167="BREWERS",0.99,IF(S167="CARDINALS",0.96,IF(S167="PIRATES",1.02,IF(S167="NATIONALS",1,1))))))))))))))))))))))))))))))*IF(W167="",1,(1+((W167-70)/10*0.035)))*IF(U167="DOME",1,IF(U167="IN",1-(V167*0.01),IF(U167="OUT",1+(V167*0.01),IF(OR(U167="L-R",U167="R-L"),1+(V167*0.005),1))))</f>
        <v/>
      </c>
      <c r="U167" s="15" t="inlineStr">
        <is>
          <t>DOME</t>
        </is>
      </c>
      <c r="V167" s="15" t="n"/>
      <c r="W167" s="15" t="n">
        <v>68</v>
      </c>
      <c r="Y167">
        <f>B167 &amp; " vs. " &amp; H167</f>
        <v/>
      </c>
      <c r="Z167">
        <f>TRIM(LEFT(Y167, FIND("vs.", Y167)-1))</f>
        <v/>
      </c>
      <c r="AA167">
        <f>TRIM(MID(Y167, FIND(" vs. ", Y167)+4, 100))</f>
        <v/>
      </c>
      <c r="AB167">
        <f>IF(Q167 &gt; VALUE(AC167), "O " &amp; AC167, IF(Q167 &lt; VALUE(AC167), "U " &amp; AC167, AC167))</f>
        <v/>
      </c>
      <c r="AC167" s="15">
        <f>IF(OR(O167="-", P167="-"), "-", MROUND(O167 + P167, 0.5))</f>
        <v/>
      </c>
      <c r="AD167" s="15">
        <f>VALUE(TRIM(RIGHT(AF167, LEN(AF167) - FIND(" ", AF167))))</f>
        <v/>
      </c>
      <c r="AE167" s="15">
        <f>LEFT(AF167,FIND(" ",AF167)-1)</f>
        <v/>
      </c>
      <c r="AF167" s="15">
        <f>IF(OR(O167="-", P167="-"), "-",
IF(MROUND(ABS(O167-P167),0.5)&lt;=0.5,
IF(O167&gt;P167, B167 &amp; " ML", H167 &amp; " ML"),
IF(MROUND(ABS(O167-P167),0.5)=1,
IF(O167&gt;P167, H167 &amp; " +1.5", B167 &amp; " +1.5"),
IF(O167&gt;P167, B167 &amp; " -1.5", H167 &amp; " -1.5")
)
)
)</f>
        <v/>
      </c>
      <c r="AG167" s="15">
        <f>_xlfn.LET(
_xlpm.winA, O167^1.83 / (O167^1.83 + P167^1.83),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68">
      <c r="A168" s="14" t="n">
        <v>46119</v>
      </c>
      <c r="B168" s="15" t="inlineStr">
        <is>
          <t>ASTROS</t>
        </is>
      </c>
      <c r="C168">
        <f>VLOOKUP(B168, 'MLB Data'!$B$5:$D$34, 3, FALSE)</f>
        <v/>
      </c>
      <c r="D168" s="16" t="inlineStr">
        <is>
          <t>BURROWS</t>
        </is>
      </c>
      <c r="E168" s="17" t="n">
        <v>4.498000000000001</v>
      </c>
      <c r="F168" s="17">
        <f>VLOOKUP(B168, 'MLB Data'!$F$2:$H$34, 3, FALSE)</f>
        <v/>
      </c>
      <c r="G168" s="17">
        <f>IF((E168*0.6+F168*0.4)&lt;2.5, 2.8, IF((E168*0.6+F168*0.4)&gt;5.5, 5.2, (E168*0.6+F168*0.4)))</f>
        <v/>
      </c>
      <c r="H168" s="15" t="inlineStr">
        <is>
          <t>ROCKIES</t>
        </is>
      </c>
      <c r="I168">
        <f>VLOOKUP(H168, 'MLB Data'!$B$5:$D$34, 3, FALSE)</f>
        <v/>
      </c>
      <c r="J168" s="16" t="inlineStr">
        <is>
          <t>FREELAND</t>
        </is>
      </c>
      <c r="K168" s="17" t="n">
        <v>4.956</v>
      </c>
      <c r="L168" s="17">
        <f>VLOOKUP(H168, 'MLB Data'!$F$2:$H$34, 3, FALSE)</f>
        <v/>
      </c>
      <c r="M168" s="17">
        <f>IF((K168*0.6+L168*0.4)&lt;2.5, 2.8, IF((K168*0.6+L168*0.4)&gt;5.5, 5.2, (K168*0.6+L168*0.4)))</f>
        <v/>
      </c>
      <c r="O168" s="18">
        <f>(C168/100) * 4.45 * (M168 / 4.2) * T168</f>
        <v/>
      </c>
      <c r="P168" s="18">
        <f>(I168/100) * 4.45 * (G168 / 4.2) * T168</f>
        <v/>
      </c>
      <c r="Q168" s="18">
        <f>(O168+P168)</f>
        <v/>
      </c>
      <c r="S168" s="15">
        <f>H168</f>
        <v/>
      </c>
      <c r="T168" s="19">
        <f>IF(S168="ROCKIES",1.13,IF(S168="ATHLETICS",1.03,IF(S168="ROYALS",1.03,IF(S168="TWINS",1,IF(S168="TIGERS",1,IF(S168="MARLINS",1.01,IF(S168="REDS",1.05,IF(S168="RED SOX",1.04,IF(S168="YANKEES",1.02,IF(S168="DODGERS",0.99,IF(S168="PADRES",0.96,IF(S168="CUBS",0.98,IF(S168="GIANTS",0.97,IF(S168="MARINERS",0.94,IF(S168="RANGERS",1,IF(S168="ASTROS",0.99,IF(S168="BRAVES",1,IF(S168="METS",0.96,IF(S168="PHILLIES",1.02,IF(S168="BLUE JAYS",1.01,IF(S168="ORIOLES",0.99,IF(S168="RAYS",1.01,IF(S168="GUARDIANS",0.99,IF(S168="WHITE SOX",0.98,IF(S168="ANGELS",1.01,IF(S168="D-BACKS",1.01,IF(S168="BREWERS",0.99,IF(S168="CARDINALS",0.96,IF(S168="PIRATES",1.02,IF(S168="NATIONALS",1,1))))))))))))))))))))))))))))))*IF(W168="",1,(1+((W168-70)/10*0.035)))*IF(U168="DOME",1,IF(U168="IN",1-(V168*0.01),IF(U168="OUT",1+(V168*0.01),IF(OR(U168="L-R",U168="R-L"),1+(V168*0.005),1))))</f>
        <v/>
      </c>
      <c r="U168" s="15" t="inlineStr">
        <is>
          <t>OUT</t>
        </is>
      </c>
      <c r="V168" s="15" t="n"/>
      <c r="W168" s="15" t="n">
        <v>63</v>
      </c>
      <c r="Y168">
        <f>B168 &amp; " vs. " &amp; H168</f>
        <v/>
      </c>
      <c r="Z168">
        <f>TRIM(LEFT(Y168, FIND("vs.", Y168)-1))</f>
        <v/>
      </c>
      <c r="AA168">
        <f>TRIM(MID(Y168, FIND(" vs. ", Y168)+4, 100))</f>
        <v/>
      </c>
      <c r="AB168">
        <f>IF(Q168 &gt; VALUE(AC168), "O " &amp; AC168, IF(Q168 &lt; VALUE(AC168), "U " &amp; AC168, AC168))</f>
        <v/>
      </c>
      <c r="AC168" s="15">
        <f>IF(OR(O168="-", P168="-"), "-", MROUND(O168 + P168, 0.5))</f>
        <v/>
      </c>
      <c r="AD168" s="15">
        <f>VALUE(TRIM(RIGHT(AF168, LEN(AF168) - FIND(" ", AF168))))</f>
        <v/>
      </c>
      <c r="AE168" s="15">
        <f>LEFT(AF168,FIND(" ",AF168)-1)</f>
        <v/>
      </c>
      <c r="AF168" s="15">
        <f>IF(OR(O168="-", P168="-"), "-",
IF(MROUND(ABS(O168-P168),0.5)&lt;=0.5,
IF(O168&gt;P168, B168 &amp; " ML", H168 &amp; " ML"),
IF(MROUND(ABS(O168-P168),0.5)=1,
IF(O168&gt;P168, H168 &amp; " +1.5", B168 &amp; " +1.5"),
IF(O168&gt;P168, B168 &amp; " -1.5", H168 &amp; " -1.5")
)
)
)</f>
        <v/>
      </c>
      <c r="AG168" s="15">
        <f>_xlfn.LET(
_xlpm.winA, O168^1.83 / (O168^1.83 + P168^1.83),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69">
      <c r="A169" s="14" t="n">
        <v>46119</v>
      </c>
      <c r="B169" s="15" t="inlineStr">
        <is>
          <t>BRAVES</t>
        </is>
      </c>
      <c r="C169">
        <f>VLOOKUP(B169, 'MLB Data'!$B$5:$D$34, 3, FALSE)</f>
        <v/>
      </c>
      <c r="D169" s="16" t="inlineStr">
        <is>
          <t>LOPEZ</t>
        </is>
      </c>
      <c r="E169" s="17" t="n">
        <v>4.664000000000001</v>
      </c>
      <c r="F169" s="17">
        <f>VLOOKUP(B169, 'MLB Data'!$F$2:$H$34, 3, FALSE)</f>
        <v/>
      </c>
      <c r="G169" s="17">
        <f>IF((E169*0.6+F169*0.4)&lt;2.5, 2.8, IF((E169*0.6+F169*0.4)&gt;5.5, 5.2, (E169*0.6+F169*0.4)))</f>
        <v/>
      </c>
      <c r="H169" s="15" t="inlineStr">
        <is>
          <t>ANGELS</t>
        </is>
      </c>
      <c r="I169">
        <f>VLOOKUP(H169, 'MLB Data'!$B$5:$D$34, 3, FALSE)</f>
        <v/>
      </c>
      <c r="J169" s="16" t="inlineStr">
        <is>
          <t>KIKUCHI</t>
        </is>
      </c>
      <c r="K169" s="17" t="n">
        <v>4.588000000000001</v>
      </c>
      <c r="L169" s="17">
        <f>VLOOKUP(H169, 'MLB Data'!$F$2:$H$34, 3, FALSE)</f>
        <v/>
      </c>
      <c r="M169" s="17">
        <f>IF((K169*0.6+L169*0.4)&lt;2.5, 2.8, IF((K169*0.6+L169*0.4)&gt;5.5, 5.2, (K169*0.6+L169*0.4)))</f>
        <v/>
      </c>
      <c r="O169" s="18">
        <f>(C169/100) * 4.45 * (M169 / 4.2) * T169</f>
        <v/>
      </c>
      <c r="P169" s="18">
        <f>(I169/100) * 4.45 * (G169 / 4.2) * T169</f>
        <v/>
      </c>
      <c r="Q169" s="18">
        <f>(O169+P169)</f>
        <v/>
      </c>
      <c r="S169" s="15">
        <f>H169</f>
        <v/>
      </c>
      <c r="T169" s="19">
        <f>IF(S169="ROCKIES",1.13,IF(S169="ATHLETICS",1.03,IF(S169="ROYALS",1.03,IF(S169="TWINS",1,IF(S169="TIGERS",1,IF(S169="MARLINS",1.01,IF(S169="REDS",1.05,IF(S169="RED SOX",1.04,IF(S169="YANKEES",1.02,IF(S169="DODGERS",0.99,IF(S169="PADRES",0.96,IF(S169="CUBS",0.98,IF(S169="GIANTS",0.97,IF(S169="MARINERS",0.94,IF(S169="RANGERS",1,IF(S169="ASTROS",0.99,IF(S169="BRAVES",1,IF(S169="METS",0.96,IF(S169="PHILLIES",1.02,IF(S169="BLUE JAYS",1.01,IF(S169="ORIOLES",0.99,IF(S169="RAYS",1.01,IF(S169="GUARDIANS",0.99,IF(S169="WHITE SOX",0.98,IF(S169="ANGELS",1.01,IF(S169="D-BACKS",1.01,IF(S169="BREWERS",0.99,IF(S169="CARDINALS",0.96,IF(S169="PIRATES",1.02,IF(S169="NATIONALS",1,1))))))))))))))))))))))))))))))*IF(W169="",1,(1+((W169-70)/10*0.035)))*IF(U169="DOME",1,IF(U169="IN",1-(V169*0.01),IF(U169="OUT",1+(V169*0.01),IF(OR(U169="L-R",U169="R-L"),1+(V169*0.005),1))))</f>
        <v/>
      </c>
      <c r="U169" s="15" t="inlineStr">
        <is>
          <t>OUT</t>
        </is>
      </c>
      <c r="V169" s="15" t="n"/>
      <c r="W169" s="15" t="n">
        <v>69</v>
      </c>
      <c r="Y169">
        <f>B169 &amp; " vs. " &amp; H169</f>
        <v/>
      </c>
      <c r="Z169">
        <f>TRIM(LEFT(Y169, FIND("vs.", Y169)-1))</f>
        <v/>
      </c>
      <c r="AA169">
        <f>TRIM(MID(Y169, FIND(" vs. ", Y169)+4, 100))</f>
        <v/>
      </c>
      <c r="AB169">
        <f>IF(Q169 &gt; VALUE(AC169), "O " &amp; AC169, IF(Q169 &lt; VALUE(AC169), "U " &amp; AC169, AC169))</f>
        <v/>
      </c>
      <c r="AC169" s="15">
        <f>IF(OR(O169="-", P169="-"), "-", MROUND(O169 + P169, 0.5))</f>
        <v/>
      </c>
      <c r="AD169" s="15">
        <f>VALUE(TRIM(RIGHT(AF169, LEN(AF169) - FIND(" ", AF169))))</f>
        <v/>
      </c>
      <c r="AE169" s="15">
        <f>LEFT(AF169,FIND(" ",AF169)-1)</f>
        <v/>
      </c>
      <c r="AF169" s="15">
        <f>IF(OR(O169="-", P169="-"), "-",
IF(MROUND(ABS(O169-P169),0.5)&lt;=0.5,
IF(O169&gt;P169, B169 &amp; " ML", H169 &amp; " ML"),
IF(MROUND(ABS(O169-P169),0.5)=1,
IF(O169&gt;P169, H169 &amp; " +1.5", B169 &amp; " +1.5"),
IF(O169&gt;P169, B169 &amp; " -1.5", H169 &amp; " -1.5")
)
)
)</f>
        <v/>
      </c>
      <c r="AG169" s="15">
        <f>_xlfn.LET(
_xlpm.winA, O169^1.83 / (O169^1.83 + P169^1.83),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70">
      <c r="A170" s="14" t="n">
        <v>46119</v>
      </c>
      <c r="B170" s="15" t="inlineStr">
        <is>
          <t>PHILLIES</t>
        </is>
      </c>
      <c r="C170">
        <f>VLOOKUP(B170, 'MLB Data'!$B$5:$D$34, 3, FALSE)</f>
        <v/>
      </c>
      <c r="D170" s="16" t="inlineStr">
        <is>
          <t>SANCHEZ</t>
        </is>
      </c>
      <c r="E170" s="17" t="n">
        <v>2.698</v>
      </c>
      <c r="F170" s="17">
        <f>VLOOKUP(B170, 'MLB Data'!$F$2:$H$34, 3, FALSE)</f>
        <v/>
      </c>
      <c r="G170" s="17">
        <f>IF((E170*0.6+F170*0.4)&lt;2.5, 2.8, IF((E170*0.6+F170*0.4)&gt;5.5, 5.2, (E170*0.6+F170*0.4)))</f>
        <v/>
      </c>
      <c r="H170" s="15" t="inlineStr">
        <is>
          <t>GIANTS</t>
        </is>
      </c>
      <c r="I170">
        <f>VLOOKUP(H170, 'MLB Data'!$B$5:$D$34, 3, FALSE)</f>
        <v/>
      </c>
      <c r="J170" s="16" t="inlineStr">
        <is>
          <t>RAY</t>
        </is>
      </c>
      <c r="K170" s="17" t="n">
        <v>4.334000000000001</v>
      </c>
      <c r="L170" s="17">
        <f>VLOOKUP(H170, 'MLB Data'!$F$2:$H$34, 3, FALSE)</f>
        <v/>
      </c>
      <c r="M170" s="17">
        <f>IF((K170*0.6+L170*0.4)&lt;2.5, 2.8, IF((K170*0.6+L170*0.4)&gt;5.5, 5.2, (K170*0.6+L170*0.4)))</f>
        <v/>
      </c>
      <c r="O170" s="18">
        <f>(C170/100) * 4.45 * (M170 / 4.2) * T170</f>
        <v/>
      </c>
      <c r="P170" s="18">
        <f>(I170/100) * 4.45 * (G170 / 4.2) * T170</f>
        <v/>
      </c>
      <c r="Q170" s="18">
        <f>(O170+P170)</f>
        <v/>
      </c>
      <c r="S170" s="15">
        <f>H170</f>
        <v/>
      </c>
      <c r="T170" s="19">
        <f>IF(S170="ROCKIES",1.13,IF(S170="ATHLETICS",1.03,IF(S170="ROYALS",1.03,IF(S170="TWINS",1,IF(S170="TIGERS",1,IF(S170="MARLINS",1.01,IF(S170="REDS",1.05,IF(S170="RED SOX",1.04,IF(S170="YANKEES",1.02,IF(S170="DODGERS",0.99,IF(S170="PADRES",0.96,IF(S170="CUBS",0.98,IF(S170="GIANTS",0.97,IF(S170="MARINERS",0.94,IF(S170="RANGERS",1,IF(S170="ASTROS",0.99,IF(S170="BRAVES",1,IF(S170="METS",0.96,IF(S170="PHILLIES",1.02,IF(S170="BLUE JAYS",1.01,IF(S170="ORIOLES",0.99,IF(S170="RAYS",1.01,IF(S170="GUARDIANS",0.99,IF(S170="WHITE SOX",0.98,IF(S170="ANGELS",1.01,IF(S170="D-BACKS",1.01,IF(S170="BREWERS",0.99,IF(S170="CARDINALS",0.96,IF(S170="PIRATES",1.02,IF(S170="NATIONALS",1,1))))))))))))))))))))))))))))))*IF(W170="",1,(1+((W170-70)/10*0.035)))*IF(U170="DOME",1,IF(U170="IN",1-(V170*0.01),IF(U170="OUT",1+(V170*0.01),IF(OR(U170="L-R",U170="R-L"),1+(V170*0.005),1))))</f>
        <v/>
      </c>
      <c r="U170" s="15" t="inlineStr">
        <is>
          <t>OUT</t>
        </is>
      </c>
      <c r="V170" s="15" t="n"/>
      <c r="W170" s="15" t="n">
        <v>60</v>
      </c>
      <c r="Y170">
        <f>B170 &amp; " vs. " &amp; H170</f>
        <v/>
      </c>
      <c r="Z170">
        <f>TRIM(LEFT(Y170, FIND("vs.", Y170)-1))</f>
        <v/>
      </c>
      <c r="AA170">
        <f>TRIM(MID(Y170, FIND(" vs. ", Y170)+4, 100))</f>
        <v/>
      </c>
      <c r="AB170">
        <f>IF(Q170 &gt; VALUE(AC170), "O " &amp; AC170, IF(Q170 &lt; VALUE(AC170), "U " &amp; AC170, AC170))</f>
        <v/>
      </c>
      <c r="AC170" s="15">
        <f>IF(OR(O170="-", P170="-"), "-", MROUND(O170 + P170, 0.5))</f>
        <v/>
      </c>
      <c r="AD170" s="15">
        <f>VALUE(TRIM(RIGHT(AF170, LEN(AF170) - FIND(" ", AF170))))</f>
        <v/>
      </c>
      <c r="AE170" s="15">
        <f>LEFT(AF170,FIND(" ",AF170)-1)</f>
        <v/>
      </c>
      <c r="AF170" s="15">
        <f>IF(OR(O170="-", P170="-"), "-",
IF(MROUND(ABS(O170-P170),0.5)&lt;=0.5,
IF(O170&gt;P170, B170 &amp; " ML", H170 &amp; " ML"),
IF(MROUND(ABS(O170-P170),0.5)=1,
IF(O170&gt;P170, H170 &amp; " +1.5", B170 &amp; " +1.5"),
IF(O170&gt;P170, B170 &amp; " -1.5", H170 &amp; " -1.5")
)
)
)</f>
        <v/>
      </c>
      <c r="AG170" s="15">
        <f>_xlfn.LET(
_xlpm.winA, O170^1.83 / (O170^1.83 + P170^1.83),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71">
      <c r="A171" s="14" t="n">
        <v>46120</v>
      </c>
      <c r="B171" s="15" t="inlineStr">
        <is>
          <t>PADRES</t>
        </is>
      </c>
      <c r="C171">
        <f>VLOOKUP(B171, 'MLB Data'!$B$5:$D$34, 3, FALSE)</f>
        <v/>
      </c>
      <c r="D171" s="16" t="inlineStr">
        <is>
          <t>KING</t>
        </is>
      </c>
      <c r="E171" s="17" t="n">
        <v>4.08</v>
      </c>
      <c r="F171" s="17">
        <f>VLOOKUP(B171, 'MLB Data'!$F$2:$H$34, 3, FALSE)</f>
        <v/>
      </c>
      <c r="G171" s="17">
        <f>IF((E171*0.6+F171*0.4)&lt;2.5, 2.8, IF((E171*0.6+F171*0.4)&gt;5.5, 5.2, (E171*0.6+F171*0.4)))</f>
        <v/>
      </c>
      <c r="H171" s="15" t="inlineStr">
        <is>
          <t>PIRATES</t>
        </is>
      </c>
      <c r="I171">
        <f>VLOOKUP(H171, 'MLB Data'!$B$5:$D$34, 3, FALSE)</f>
        <v/>
      </c>
      <c r="J171" s="16" t="inlineStr">
        <is>
          <t>KELLER</t>
        </is>
      </c>
      <c r="K171" s="17" t="n">
        <v>4.298</v>
      </c>
      <c r="L171" s="17">
        <f>VLOOKUP(H171, 'MLB Data'!$F$2:$H$34, 3, FALSE)</f>
        <v/>
      </c>
      <c r="M171" s="17">
        <f>IF((K171*0.6+L171*0.4)&lt;2.5, 2.8, IF((K171*0.6+L171*0.4)&gt;5.5, 5.2, (K171*0.6+L171*0.4)))</f>
        <v/>
      </c>
      <c r="O171" s="18">
        <f>(C171/100) * 4.1 * (M171 / 4.2) * T171</f>
        <v/>
      </c>
      <c r="P171" s="18">
        <f>(I171/100) * 4.1 * (G171 / 4.2) * T171</f>
        <v/>
      </c>
      <c r="Q171" s="18">
        <f>(O171+P171)</f>
        <v/>
      </c>
      <c r="S171" s="15">
        <f>H171</f>
        <v/>
      </c>
      <c r="T171" s="19">
        <f>IF(S171="ROCKIES",1.13,IF(S171="ATHLETICS",1.03,IF(S171="ROYALS",1.03,IF(S171="TWINS",1,IF(S171="TIGERS",1,IF(S171="MARLINS",1.01,IF(S171="REDS",1.05,IF(S171="RED SOX",1.04,IF(S171="YANKEES",1.02,IF(S171="DODGERS",0.99,IF(S171="PADRES",0.96,IF(S171="CUBS",0.98,IF(S171="GIANTS",0.97,IF(S171="MARINERS",0.94,IF(S171="RANGERS",1,IF(S171="ASTROS",0.99,IF(S171="BRAVES",1,IF(S171="METS",0.96,IF(S171="PHILLIES",1.02,IF(S171="BLUE JAYS",1.01,IF(S171="ORIOLES",0.99,IF(S171="RAYS",1.01,IF(S171="GUARDIANS",0.99,IF(S171="WHITE SOX",0.98,IF(S171="ANGELS",1.01,IF(S171="D-BACKS",1.01,IF(S171="BREWERS",0.99,IF(S171="CARDINALS",0.96,IF(S171="PIRATES",1.02,IF(S171="NATIONALS",1,1))))))))))))))))))))))))))))))*IF(W171="",1,(1+((W171-70)/10*0.035)))*IF(U171="DOME",1,IF(U171="IN",1-(V171*0.01),IF(U171="OUT",1+(V171*0.01),IF(OR(U171="L-R",U171="R-L"),1+(V171*0.005),1))))</f>
        <v/>
      </c>
      <c r="U171" s="15" t="inlineStr">
        <is>
          <t>IN</t>
        </is>
      </c>
      <c r="V171" s="15" t="n">
        <v>8</v>
      </c>
      <c r="W171" s="15" t="n">
        <v>52</v>
      </c>
      <c r="Y171">
        <f>B171 &amp; " vs. " &amp; H171</f>
        <v/>
      </c>
      <c r="Z171">
        <f>TRIM(LEFT(Y171, FIND("vs.", Y171)-1))</f>
        <v/>
      </c>
      <c r="AA171">
        <f>TRIM(MID(Y171, FIND(" vs. ", Y171)+4, 100))</f>
        <v/>
      </c>
      <c r="AB171" s="29">
        <f>IF(Q171 &gt; VALUE(AC171), "O " &amp; AC171, IF(Q171 &lt; VALUE(AC171), "U " &amp; AC171, AC171))</f>
        <v/>
      </c>
      <c r="AC171" s="15">
        <f>IF(OR(O171="-", P171="-"), "-", MROUND(O171 + P171, 0.5))</f>
        <v/>
      </c>
      <c r="AD171" s="15">
        <f>VALUE(TRIM(RIGHT(AF171, LEN(AF171) - FIND(" ", AF171))))</f>
        <v/>
      </c>
      <c r="AE171" s="15">
        <f>LEFT(AF171,FIND(" ",AF171)-1)</f>
        <v/>
      </c>
      <c r="AF171" s="15">
        <f>IF(OR(O171="-", P171="-"), "-",
IF(MROUND(ABS(O171-P171),0.5)&lt;=0.5,
IF(O171&gt;P171, B171 &amp; " ML", H171 &amp; " ML"),
IF(MROUND(ABS(O171-P171),0.5)=1,
IF(O171&gt;P171, H171 &amp; " +1.5", B171 &amp; " +1.5"),
IF(O171&gt;P171, B171 &amp; " -1.5", H171 &amp; " -1.5")
)
)
)</f>
        <v/>
      </c>
      <c r="AG171" s="15">
        <f>_xlfn.LET(
_xlpm.winA, O171^1.83 / (O171^1.83 + P171^1.83),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72">
      <c r="A172" s="14" t="n">
        <v>46120</v>
      </c>
      <c r="B172" s="15" t="inlineStr">
        <is>
          <t>ROYALS</t>
        </is>
      </c>
      <c r="C172">
        <f>VLOOKUP(B172, 'MLB Data'!$B$5:$D$34, 3, FALSE)</f>
        <v/>
      </c>
      <c r="D172" s="16" t="inlineStr">
        <is>
          <t>RAGANS</t>
        </is>
      </c>
      <c r="E172" s="17" t="n">
        <v>3.428</v>
      </c>
      <c r="F172" s="17">
        <f>VLOOKUP(B172, 'MLB Data'!$F$2:$H$34, 3, FALSE)</f>
        <v/>
      </c>
      <c r="G172" s="17">
        <f>IF((E172*0.6+F172*0.4)&lt;2.5, 2.8, IF((E172*0.6+F172*0.4)&gt;5.5, 5.2, (E172*0.6+F172*0.4)))</f>
        <v/>
      </c>
      <c r="H172" s="15" t="inlineStr">
        <is>
          <t>GUARDIANS</t>
        </is>
      </c>
      <c r="I172">
        <f>VLOOKUP(H172, 'MLB Data'!$B$5:$D$34, 3, FALSE)</f>
        <v/>
      </c>
      <c r="J172" s="16" t="inlineStr">
        <is>
          <t>CANTILLO</t>
        </is>
      </c>
      <c r="K172" s="17" t="n">
        <v>4.02</v>
      </c>
      <c r="L172" s="17">
        <f>VLOOKUP(H172, 'MLB Data'!$F$2:$H$34, 3, FALSE)</f>
        <v/>
      </c>
      <c r="M172" s="17">
        <f>IF((K172*0.6+L172*0.4)&lt;2.5, 2.8, IF((K172*0.6+L172*0.4)&gt;5.5, 5.2, (K172*0.6+L172*0.4)))</f>
        <v/>
      </c>
      <c r="O172" s="18">
        <f>(C172/100) * 4.1 * (M172 / 4.2) * T172</f>
        <v/>
      </c>
      <c r="P172" s="18">
        <f>(I172/100) * 4.1 * (G172 / 4.2) * T172</f>
        <v/>
      </c>
      <c r="Q172" s="18">
        <f>(O172+P172)</f>
        <v/>
      </c>
      <c r="S172" s="15">
        <f>H172</f>
        <v/>
      </c>
      <c r="T172" s="19">
        <f>IF(S172="ROCKIES",1.13,IF(S172="ATHLETICS",1.03,IF(S172="ROYALS",1.03,IF(S172="TWINS",1,IF(S172="TIGERS",1,IF(S172="MARLINS",1.01,IF(S172="REDS",1.05,IF(S172="RED SOX",1.04,IF(S172="YANKEES",1.02,IF(S172="DODGERS",0.99,IF(S172="PADRES",0.96,IF(S172="CUBS",0.98,IF(S172="GIANTS",0.97,IF(S172="MARINERS",0.94,IF(S172="RANGERS",1,IF(S172="ASTROS",0.99,IF(S172="BRAVES",1,IF(S172="METS",0.96,IF(S172="PHILLIES",1.02,IF(S172="BLUE JAYS",1.01,IF(S172="ORIOLES",0.99,IF(S172="RAYS",1.01,IF(S172="GUARDIANS",0.99,IF(S172="WHITE SOX",0.98,IF(S172="ANGELS",1.01,IF(S172="D-BACKS",1.01,IF(S172="BREWERS",0.99,IF(S172="CARDINALS",0.96,IF(S172="PIRATES",1.02,IF(S172="NATIONALS",1,1))))))))))))))))))))))))))))))*IF(W172="",1,(1+((W172-70)/10*0.035)))*IF(U172="DOME",1,IF(U172="IN",1-(V172*0.01),IF(U172="OUT",1+(V172*0.01),IF(OR(U172="L-R",U172="R-L"),1+(V172*0.005),1))))</f>
        <v/>
      </c>
      <c r="U172" s="15" t="inlineStr">
        <is>
          <t>OUT</t>
        </is>
      </c>
      <c r="V172" s="15" t="n">
        <v>8</v>
      </c>
      <c r="W172" s="15" t="n">
        <v>55</v>
      </c>
      <c r="Y172">
        <f>B172 &amp; " vs. " &amp; H172</f>
        <v/>
      </c>
      <c r="Z172">
        <f>TRIM(LEFT(Y172, FIND("vs.", Y172)-1))</f>
        <v/>
      </c>
      <c r="AA172">
        <f>TRIM(MID(Y172, FIND(" vs. ", Y172)+4, 100))</f>
        <v/>
      </c>
      <c r="AB172" s="30">
        <f>IF(Q172 &gt; VALUE(AC172), "O " &amp; AC172, IF(Q172 &lt; VALUE(AC172), "U " &amp; AC172, AC172))</f>
        <v/>
      </c>
      <c r="AC172" s="15">
        <f>IF(OR(O172="-", P172="-"), "-", MROUND(O172 + P172, 0.5))</f>
        <v/>
      </c>
      <c r="AD172" s="15">
        <f>VALUE(TRIM(RIGHT(AF172, LEN(AF172) - FIND(" ", AF172))))</f>
        <v/>
      </c>
      <c r="AE172" s="15">
        <f>LEFT(AF172,FIND(" ",AF172)-1)</f>
        <v/>
      </c>
      <c r="AF172" s="15">
        <f>IF(OR(O172="-", P172="-"), "-",
IF(MROUND(ABS(O172-P172),0.5)&lt;=0.5,
IF(O172&gt;P172, B172 &amp; " ML", H172 &amp; " ML"),
IF(MROUND(ABS(O172-P172),0.5)=1,
IF(O172&gt;P172, H172 &amp; " +1.5", B172 &amp; " +1.5"),
IF(O172&gt;P172, B172 &amp; " -1.5", H172 &amp; " -1.5")
)
)
)</f>
        <v/>
      </c>
      <c r="AG172" s="15">
        <f>_xlfn.LET(
_xlpm.winA, O172^1.83 / (O172^1.83 + P172^1.83),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73">
      <c r="A173" s="14" t="n">
        <v>46120</v>
      </c>
      <c r="B173" s="15" t="inlineStr">
        <is>
          <t>BREWERS</t>
        </is>
      </c>
      <c r="C173">
        <f>VLOOKUP(B173, 'MLB Data'!$B$5:$D$34, 3, FALSE)</f>
        <v/>
      </c>
      <c r="D173" s="16" t="inlineStr">
        <is>
          <t>DROHAN</t>
        </is>
      </c>
      <c r="E173" s="17" t="n">
        <v>4.04</v>
      </c>
      <c r="F173" s="17">
        <f>VLOOKUP(B173, 'MLB Data'!$F$2:$H$34, 3, FALSE)</f>
        <v/>
      </c>
      <c r="G173" s="17">
        <f>IF((E173*0.6+F173*0.4)&lt;2.5, 2.8, IF((E173*0.6+F173*0.4)&gt;5.5, 5.2, (E173*0.6+F173*0.4)))</f>
        <v/>
      </c>
      <c r="H173" s="15" t="inlineStr">
        <is>
          <t>RED SOX</t>
        </is>
      </c>
      <c r="I173">
        <f>VLOOKUP(H173, 'MLB Data'!$B$5:$D$34, 3, FALSE)</f>
        <v/>
      </c>
      <c r="J173" s="16" t="inlineStr">
        <is>
          <t>GRAY</t>
        </is>
      </c>
      <c r="K173" s="17" t="n">
        <v>3.514</v>
      </c>
      <c r="L173" s="17">
        <f>VLOOKUP(H173, 'MLB Data'!$F$2:$H$34, 3, FALSE)</f>
        <v/>
      </c>
      <c r="M173" s="17">
        <f>IF((K173*0.6+L173*0.4)&lt;2.5, 2.8, IF((K173*0.6+L173*0.4)&gt;5.5, 5.2, (K173*0.6+L173*0.4)))</f>
        <v/>
      </c>
      <c r="O173" s="18">
        <f>(C173/100) * 4.1 * (M173 / 4.2) * T173</f>
        <v/>
      </c>
      <c r="P173" s="18">
        <f>(I173/100) * 4.1 * (G173 / 4.2) * T173</f>
        <v/>
      </c>
      <c r="Q173" s="18">
        <f>(O173+P173)</f>
        <v/>
      </c>
      <c r="S173" s="15">
        <f>H173</f>
        <v/>
      </c>
      <c r="T173" s="19">
        <f>IF(S173="ROCKIES",1.13,IF(S173="ATHLETICS",1.03,IF(S173="ROYALS",1.03,IF(S173="TWINS",1,IF(S173="TIGERS",1,IF(S173="MARLINS",1.01,IF(S173="REDS",1.05,IF(S173="RED SOX",1.04,IF(S173="YANKEES",1.02,IF(S173="DODGERS",0.99,IF(S173="PADRES",0.96,IF(S173="CUBS",0.98,IF(S173="GIANTS",0.97,IF(S173="MARINERS",0.94,IF(S173="RANGERS",1,IF(S173="ASTROS",0.99,IF(S173="BRAVES",1,IF(S173="METS",0.96,IF(S173="PHILLIES",1.02,IF(S173="BLUE JAYS",1.01,IF(S173="ORIOLES",0.99,IF(S173="RAYS",1.01,IF(S173="GUARDIANS",0.99,IF(S173="WHITE SOX",0.98,IF(S173="ANGELS",1.01,IF(S173="D-BACKS",1.01,IF(S173="BREWERS",0.99,IF(S173="CARDINALS",0.96,IF(S173="PIRATES",1.02,IF(S173="NATIONALS",1,1))))))))))))))))))))))))))))))*IF(W173="",1,(1+((W173-70)/10*0.035)))*IF(U173="DOME",1,IF(U173="IN",1-(V173*0.01),IF(U173="OUT",1+(V173*0.01),IF(OR(U173="L-R",U173="R-L"),1+(V173*0.005),1))))</f>
        <v/>
      </c>
      <c r="U173" s="15" t="inlineStr">
        <is>
          <t>IN</t>
        </is>
      </c>
      <c r="V173" s="15" t="n">
        <v>10</v>
      </c>
      <c r="W173" s="15" t="n">
        <v>41</v>
      </c>
      <c r="Y173">
        <f>B173 &amp; " vs. " &amp; H173</f>
        <v/>
      </c>
      <c r="Z173">
        <f>TRIM(LEFT(Y173, FIND("vs.", Y173)-1))</f>
        <v/>
      </c>
      <c r="AA173">
        <f>TRIM(MID(Y173, FIND(" vs. ", Y173)+4, 100))</f>
        <v/>
      </c>
      <c r="AB173" s="29">
        <f>IF(Q173 &gt; VALUE(AC173), "O " &amp; AC173, IF(Q173 &lt; VALUE(AC173), "U " &amp; AC173, AC173))</f>
        <v/>
      </c>
      <c r="AC173" s="15">
        <f>IF(OR(O173="-", P173="-"), "-", MROUND(O173 + P173, 0.5))</f>
        <v/>
      </c>
      <c r="AD173" s="15">
        <f>VALUE(TRIM(RIGHT(AF173, LEN(AF173) - FIND(" ", AF173))))</f>
        <v/>
      </c>
      <c r="AE173" s="15">
        <f>LEFT(AF173,FIND(" ",AF173)-1)</f>
        <v/>
      </c>
      <c r="AF173" s="15">
        <f>IF(OR(O173="-", P173="-"), "-",
IF(MROUND(ABS(O173-P173),0.5)&lt;=0.5,
IF(O173&gt;P173, B173 &amp; " ML", H173 &amp; " ML"),
IF(MROUND(ABS(O173-P173),0.5)=1,
IF(O173&gt;P173, H173 &amp; " +1.5", B173 &amp; " +1.5"),
IF(O173&gt;P173, B173 &amp; " -1.5", H173 &amp; " -1.5")
)
)
)</f>
        <v/>
      </c>
      <c r="AG173" s="15">
        <f>_xlfn.LET(
_xlpm.winA, O173^1.83 / (O173^1.83 + P173^1.83),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74">
      <c r="A174" s="14" t="n">
        <v>46120</v>
      </c>
      <c r="B174" s="15" t="inlineStr">
        <is>
          <t>ORIOLES</t>
        </is>
      </c>
      <c r="C174">
        <f>VLOOKUP(B174, 'MLB Data'!$B$5:$D$34, 3, FALSE)</f>
        <v/>
      </c>
      <c r="D174" s="16" t="inlineStr">
        <is>
          <t>BRADISH</t>
        </is>
      </c>
      <c r="E174" s="17" t="n">
        <v>4.022</v>
      </c>
      <c r="F174" s="17">
        <f>VLOOKUP(B174, 'MLB Data'!$F$2:$H$34, 3, FALSE)</f>
        <v/>
      </c>
      <c r="G174" s="17">
        <f>IF((E174*0.6+F174*0.4)&lt;2.5, 2.8, IF((E174*0.6+F174*0.4)&gt;5.5, 5.2, (E174*0.6+F174*0.4)))</f>
        <v/>
      </c>
      <c r="H174" s="15" t="inlineStr">
        <is>
          <t>WHITE SOX</t>
        </is>
      </c>
      <c r="I174">
        <f>VLOOKUP(H174, 'MLB Data'!$B$5:$D$34, 3, FALSE)</f>
        <v/>
      </c>
      <c r="J174" s="16" t="inlineStr">
        <is>
          <t>BURKE</t>
        </is>
      </c>
      <c r="K174" s="17" t="n">
        <v>4.376</v>
      </c>
      <c r="L174" s="17">
        <f>VLOOKUP(H174, 'MLB Data'!$F$2:$H$34, 3, FALSE)</f>
        <v/>
      </c>
      <c r="M174" s="17">
        <f>IF((K174*0.6+L174*0.4)&lt;2.5, 2.8, IF((K174*0.6+L174*0.4)&gt;5.5, 5.2, (K174*0.6+L174*0.4)))</f>
        <v/>
      </c>
      <c r="O174" s="18">
        <f>(C174/100) * 4.1 * (M174 / 4.2) * T174</f>
        <v/>
      </c>
      <c r="P174" s="18">
        <f>(I174/100) * 4.1 * (G174 / 4.2) * T174</f>
        <v/>
      </c>
      <c r="Q174" s="18">
        <f>(O174+P174)</f>
        <v/>
      </c>
      <c r="S174" s="15">
        <f>H174</f>
        <v/>
      </c>
      <c r="T174" s="19">
        <f>IF(S174="ROCKIES",1.13,IF(S174="ATHLETICS",1.03,IF(S174="ROYALS",1.03,IF(S174="TWINS",1,IF(S174="TIGERS",1,IF(S174="MARLINS",1.01,IF(S174="REDS",1.05,IF(S174="RED SOX",1.04,IF(S174="YANKEES",1.02,IF(S174="DODGERS",0.99,IF(S174="PADRES",0.96,IF(S174="CUBS",0.98,IF(S174="GIANTS",0.97,IF(S174="MARINERS",0.94,IF(S174="RANGERS",1,IF(S174="ASTROS",0.99,IF(S174="BRAVES",1,IF(S174="METS",0.96,IF(S174="PHILLIES",1.02,IF(S174="BLUE JAYS",1.01,IF(S174="ORIOLES",0.99,IF(S174="RAYS",1.01,IF(S174="GUARDIANS",0.99,IF(S174="WHITE SOX",0.98,IF(S174="ANGELS",1.01,IF(S174="D-BACKS",1.01,IF(S174="BREWERS",0.99,IF(S174="CARDINALS",0.96,IF(S174="PIRATES",1.02,IF(S174="NATIONALS",1,1))))))))))))))))))))))))))))))*IF(W174="",1,(1+((W174-70)/10*0.035)))*IF(U174="DOME",1,IF(U174="IN",1-(V174*0.01),IF(U174="OUT",1+(V174*0.01),IF(OR(U174="L-R",U174="R-L"),1+(V174*0.005),1))))</f>
        <v/>
      </c>
      <c r="U174" s="15" t="inlineStr">
        <is>
          <t>IN</t>
        </is>
      </c>
      <c r="V174" s="15" t="n">
        <v>21</v>
      </c>
      <c r="W174" s="15" t="n">
        <v>61</v>
      </c>
      <c r="Y174">
        <f>B174 &amp; " vs. " &amp; H174</f>
        <v/>
      </c>
      <c r="Z174">
        <f>TRIM(LEFT(Y174, FIND("vs.", Y174)-1))</f>
        <v/>
      </c>
      <c r="AA174">
        <f>TRIM(MID(Y174, FIND(" vs. ", Y174)+4, 100))</f>
        <v/>
      </c>
      <c r="AB174" s="29">
        <f>IF(Q174 &gt; VALUE(AC174), "O " &amp; AC174, IF(Q174 &lt; VALUE(AC174), "U " &amp; AC174, AC174))</f>
        <v/>
      </c>
      <c r="AC174" s="15">
        <f>IF(OR(O174="-", P174="-"), "-", MROUND(O174 + P174, 0.5))</f>
        <v/>
      </c>
      <c r="AD174" s="15">
        <f>VALUE(TRIM(RIGHT(AF174, LEN(AF174) - FIND(" ", AF174))))</f>
        <v/>
      </c>
      <c r="AE174" s="15">
        <f>LEFT(AF174,FIND(" ",AF174)-1)</f>
        <v/>
      </c>
      <c r="AF174" s="15">
        <f>IF(OR(O174="-", P174="-"), "-",
IF(MROUND(ABS(O174-P174),0.5)&lt;=0.5,
IF(O174&gt;P174, B174 &amp; " ML", H174 &amp; " ML"),
IF(MROUND(ABS(O174-P174),0.5)=1,
IF(O174&gt;P174, H174 &amp; " +1.5", B174 &amp; " +1.5"),
IF(O174&gt;P174, B174 &amp; " -1.5", H174 &amp; " -1.5")
)
)
)</f>
        <v/>
      </c>
      <c r="AG174" s="15">
        <f>_xlfn.LET(
_xlpm.winA, O174^1.83 / (O174^1.83 + P174^1.83),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75">
      <c r="A175" s="14" t="n">
        <v>46120</v>
      </c>
      <c r="B175" s="15" t="inlineStr">
        <is>
          <t>MARINERS</t>
        </is>
      </c>
      <c r="C175">
        <f>VLOOKUP(B175, 'MLB Data'!$B$5:$D$34, 3, FALSE)</f>
        <v/>
      </c>
      <c r="D175" s="16" t="inlineStr">
        <is>
          <t>WOO</t>
        </is>
      </c>
      <c r="E175" s="17" t="n">
        <v>3.482</v>
      </c>
      <c r="F175" s="17">
        <f>VLOOKUP(B175, 'MLB Data'!$F$2:$H$34, 3, FALSE)</f>
        <v/>
      </c>
      <c r="G175" s="17">
        <f>IF((E175*0.6+F175*0.4)&lt;2.5, 2.8, IF((E175*0.6+F175*0.4)&gt;5.5, 5.2, (E175*0.6+F175*0.4)))</f>
        <v/>
      </c>
      <c r="H175" s="15" t="inlineStr">
        <is>
          <t>RANGERS</t>
        </is>
      </c>
      <c r="I175">
        <f>VLOOKUP(H175, 'MLB Data'!$B$5:$D$34, 3, FALSE)</f>
        <v/>
      </c>
      <c r="J175" s="16" t="inlineStr">
        <is>
          <t>GORE</t>
        </is>
      </c>
      <c r="K175" s="17" t="n">
        <v>3.45</v>
      </c>
      <c r="L175" s="17">
        <f>VLOOKUP(H175, 'MLB Data'!$F$2:$H$34, 3, FALSE)</f>
        <v/>
      </c>
      <c r="M175" s="17">
        <f>IF((K175*0.6+L175*0.4)&lt;2.5, 2.8, IF((K175*0.6+L175*0.4)&gt;5.5, 5.2, (K175*0.6+L175*0.4)))</f>
        <v/>
      </c>
      <c r="O175" s="18">
        <f>(C175/100) * 4.1 * (M175 / 4.2) * T175</f>
        <v/>
      </c>
      <c r="P175" s="18">
        <f>(I175/100) * 4.1 * (G175 / 4.2) * T175</f>
        <v/>
      </c>
      <c r="Q175" s="18">
        <f>(O175+P175)</f>
        <v/>
      </c>
      <c r="S175" s="15">
        <f>H175</f>
        <v/>
      </c>
      <c r="T175" s="19">
        <f>IF(S175="ROCKIES",1.13,IF(S175="ATHLETICS",1.03,IF(S175="ROYALS",1.03,IF(S175="TWINS",1,IF(S175="TIGERS",1,IF(S175="MARLINS",1.01,IF(S175="REDS",1.05,IF(S175="RED SOX",1.04,IF(S175="YANKEES",1.02,IF(S175="DODGERS",0.99,IF(S175="PADRES",0.96,IF(S175="CUBS",0.98,IF(S175="GIANTS",0.97,IF(S175="MARINERS",0.94,IF(S175="RANGERS",1,IF(S175="ASTROS",0.99,IF(S175="BRAVES",1,IF(S175="METS",0.96,IF(S175="PHILLIES",1.02,IF(S175="BLUE JAYS",1.01,IF(S175="ORIOLES",0.99,IF(S175="RAYS",1.01,IF(S175="GUARDIANS",0.99,IF(S175="WHITE SOX",0.98,IF(S175="ANGELS",1.01,IF(S175="D-BACKS",1.01,IF(S175="BREWERS",0.99,IF(S175="CARDINALS",0.96,IF(S175="PIRATES",1.02,IF(S175="NATIONALS",1,1))))))))))))))))))))))))))))))*IF(W175="",1,(1+((W175-70)/10*0.035)))*IF(U175="DOME",1,IF(U175="IN",1-(V175*0.01),IF(U175="OUT",1+(V175*0.01),IF(OR(U175="L-R",U175="R-L"),1+(V175*0.005),1))))</f>
        <v/>
      </c>
      <c r="U175" s="15" t="inlineStr">
        <is>
          <t>DOME</t>
        </is>
      </c>
      <c r="V175" s="15" t="n">
        <v>8</v>
      </c>
      <c r="W175" s="15" t="n">
        <v>76</v>
      </c>
      <c r="Y175">
        <f>B175 &amp; " vs. " &amp; H175</f>
        <v/>
      </c>
      <c r="Z175">
        <f>TRIM(LEFT(Y175, FIND("vs.", Y175)-1))</f>
        <v/>
      </c>
      <c r="AA175">
        <f>TRIM(MID(Y175, FIND(" vs. ", Y175)+4, 100))</f>
        <v/>
      </c>
      <c r="AB175" s="29">
        <f>IF(Q175 &gt; VALUE(AC175), "O " &amp; AC175, IF(Q175 &lt; VALUE(AC175), "U " &amp; AC175, AC175))</f>
        <v/>
      </c>
      <c r="AC175" s="15">
        <f>IF(OR(O175="-", P175="-"), "-", MROUND(O175 + P175, 0.5))</f>
        <v/>
      </c>
      <c r="AD175" s="15">
        <f>VALUE(TRIM(RIGHT(AF175, LEN(AF175) - FIND(" ", AF175))))</f>
        <v/>
      </c>
      <c r="AE175" s="15">
        <f>LEFT(AF175,FIND(" ",AF175)-1)</f>
        <v/>
      </c>
      <c r="AF175" s="15">
        <f>IF(OR(O175="-", P175="-"), "-",
IF(MROUND(ABS(O175-P175),0.5)&lt;=0.5,
IF(O175&gt;P175, B175 &amp; " ML", H175 &amp; " ML"),
IF(MROUND(ABS(O175-P175),0.5)=1,
IF(O175&gt;P175, H175 &amp; " +1.5", B175 &amp; " +1.5"),
IF(O175&gt;P175, B175 &amp; " -1.5", H175 &amp; " -1.5")
)
)
)</f>
        <v/>
      </c>
      <c r="AG175" s="15">
        <f>_xlfn.LET(
_xlpm.winA, O175^1.83 / (O175^1.83 + P175^1.83),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76">
      <c r="A176" s="14" t="n">
        <v>46120</v>
      </c>
      <c r="B176" s="15" t="inlineStr">
        <is>
          <t>DODGERS</t>
        </is>
      </c>
      <c r="C176">
        <f>VLOOKUP(B176, 'MLB Data'!$B$5:$D$34, 3, FALSE)</f>
        <v/>
      </c>
      <c r="D176" s="16" t="inlineStr">
        <is>
          <t>OHTANI</t>
        </is>
      </c>
      <c r="E176" s="17" t="n">
        <v>3.472</v>
      </c>
      <c r="F176" s="17">
        <f>VLOOKUP(B176, 'MLB Data'!$F$2:$H$34, 3, FALSE)</f>
        <v/>
      </c>
      <c r="G176" s="17">
        <f>IF((E176*0.6+F176*0.4)&lt;2.5, 2.8, IF((E176*0.6+F176*0.4)&gt;5.5, 5.2, (E176*0.6+F176*0.4)))</f>
        <v/>
      </c>
      <c r="H176" s="15" t="inlineStr">
        <is>
          <t>BLUE JAYS</t>
        </is>
      </c>
      <c r="I176">
        <f>VLOOKUP(H176, 'MLB Data'!$B$5:$D$34, 3, FALSE)</f>
        <v/>
      </c>
      <c r="J176" s="16" t="inlineStr">
        <is>
          <t>CEASE</t>
        </is>
      </c>
      <c r="K176" s="17" t="n">
        <v>3.066</v>
      </c>
      <c r="L176" s="17">
        <f>VLOOKUP(H176, 'MLB Data'!$F$2:$H$34, 3, FALSE)</f>
        <v/>
      </c>
      <c r="M176" s="17">
        <f>IF((K176*0.6+L176*0.4)&lt;2.5, 2.8, IF((K176*0.6+L176*0.4)&gt;5.5, 5.2, (K176*0.6+L176*0.4)))</f>
        <v/>
      </c>
      <c r="O176" s="18">
        <f>(C176/100) * 4.1 * (M176 / 4.2) * T176</f>
        <v/>
      </c>
      <c r="P176" s="18">
        <f>(I176/100) * 4.1 * (G176 / 4.2) * T176</f>
        <v/>
      </c>
      <c r="Q176" s="18">
        <f>(O176+P176)</f>
        <v/>
      </c>
      <c r="S176" s="15">
        <f>H176</f>
        <v/>
      </c>
      <c r="T176" s="19">
        <f>IF(S176="ROCKIES",1.13,IF(S176="ATHLETICS",1.03,IF(S176="ROYALS",1.03,IF(S176="TWINS",1,IF(S176="TIGERS",1,IF(S176="MARLINS",1.01,IF(S176="REDS",1.05,IF(S176="RED SOX",1.04,IF(S176="YANKEES",1.02,IF(S176="DODGERS",0.99,IF(S176="PADRES",0.96,IF(S176="CUBS",0.98,IF(S176="GIANTS",0.97,IF(S176="MARINERS",0.94,IF(S176="RANGERS",1,IF(S176="ASTROS",0.99,IF(S176="BRAVES",1,IF(S176="METS",0.96,IF(S176="PHILLIES",1.02,IF(S176="BLUE JAYS",1.01,IF(S176="ORIOLES",0.99,IF(S176="RAYS",1.01,IF(S176="GUARDIANS",0.99,IF(S176="WHITE SOX",0.98,IF(S176="ANGELS",1.01,IF(S176="D-BACKS",1.01,IF(S176="BREWERS",0.99,IF(S176="CARDINALS",0.96,IF(S176="PIRATES",1.02,IF(S176="NATIONALS",1,1))))))))))))))))))))))))))))))*IF(W176="",1,(1+((W176-70)/10*0.035)))*IF(U176="DOME",1,IF(U176="IN",1-(V176*0.01),IF(U176="OUT",1+(V176*0.01),IF(OR(U176="L-R",U176="R-L"),1+(V176*0.005),1))))</f>
        <v/>
      </c>
      <c r="U176" s="15" t="inlineStr">
        <is>
          <t>DOME</t>
        </is>
      </c>
      <c r="V176" s="15" t="n">
        <v>15</v>
      </c>
      <c r="W176" s="15" t="n">
        <v>38</v>
      </c>
      <c r="Y176">
        <f>B176 &amp; " vs. " &amp; H176</f>
        <v/>
      </c>
      <c r="Z176">
        <f>TRIM(LEFT(Y176, FIND("vs.", Y176)-1))</f>
        <v/>
      </c>
      <c r="AA176">
        <f>TRIM(MID(Y176, FIND(" vs. ", Y176)+4, 100))</f>
        <v/>
      </c>
      <c r="AB176" s="31">
        <f>IF(Q176 &gt; VALUE(AC176), "O " &amp; AC176, IF(Q176 &lt; VALUE(AC176), "U " &amp; AC176, AC176))</f>
        <v/>
      </c>
      <c r="AC176" s="15">
        <f>IF(OR(O176="-", P176="-"), "-", MROUND(O176 + P176, 0.5))</f>
        <v/>
      </c>
      <c r="AD176" s="15">
        <f>VALUE(TRIM(RIGHT(AF176, LEN(AF176) - FIND(" ", AF176))))</f>
        <v/>
      </c>
      <c r="AE176" s="15">
        <f>LEFT(AF176,FIND(" ",AF176)-1)</f>
        <v/>
      </c>
      <c r="AF176" s="15">
        <f>IF(OR(O176="-", P176="-"), "-",
IF(MROUND(ABS(O176-P176),0.5)&lt;=0.5,
IF(O176&gt;P176, B176 &amp; " ML", H176 &amp; " ML"),
IF(MROUND(ABS(O176-P176),0.5)=1,
IF(O176&gt;P176, H176 &amp; " +1.5", B176 &amp; " +1.5"),
IF(O176&gt;P176, B176 &amp; " -1.5", H176 &amp; " -1.5")
)
)
)</f>
        <v/>
      </c>
      <c r="AG176" s="15">
        <f>_xlfn.LET(
_xlpm.winA, O176^1.83 / (O176^1.83 + P176^1.83),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77">
      <c r="A177" s="14" t="n">
        <v>46120</v>
      </c>
      <c r="B177" s="15" t="inlineStr">
        <is>
          <t>ASTROS</t>
        </is>
      </c>
      <c r="C177">
        <f>VLOOKUP(B177, 'MLB Data'!$B$5:$D$34, 3, FALSE)</f>
        <v/>
      </c>
      <c r="D177" s="16" t="inlineStr">
        <is>
          <t>JAVIER</t>
        </is>
      </c>
      <c r="E177" s="17" t="n">
        <v>5.680000000000001</v>
      </c>
      <c r="F177" s="17">
        <f>VLOOKUP(B177, 'MLB Data'!$F$2:$H$34, 3, FALSE)</f>
        <v/>
      </c>
      <c r="G177" s="17">
        <f>IF((E177*0.6+F177*0.4)&lt;2.5, 2.8, IF((E177*0.6+F177*0.4)&gt;5.5, 5.2, (E177*0.6+F177*0.4)))</f>
        <v/>
      </c>
      <c r="H177" s="15" t="inlineStr">
        <is>
          <t>ROCKIES</t>
        </is>
      </c>
      <c r="I177">
        <f>VLOOKUP(H177, 'MLB Data'!$B$5:$D$34, 3, FALSE)</f>
        <v/>
      </c>
      <c r="J177" s="16" t="inlineStr">
        <is>
          <t>LORENZEN</t>
        </is>
      </c>
      <c r="K177" s="17" t="n">
        <v>5.274000000000001</v>
      </c>
      <c r="L177" s="17">
        <f>VLOOKUP(H177, 'MLB Data'!$F$2:$H$34, 3, FALSE)</f>
        <v/>
      </c>
      <c r="M177" s="17">
        <f>IF((K177*0.6+L177*0.4)&lt;2.5, 2.8, IF((K177*0.6+L177*0.4)&gt;5.5, 5.2, (K177*0.6+L177*0.4)))</f>
        <v/>
      </c>
      <c r="O177" s="18">
        <f>(C177/100) * 4.1 * (M177 / 4.2) * T177</f>
        <v/>
      </c>
      <c r="P177" s="18">
        <f>(I177/100) * 4.1 * (G177 / 4.2) * T177</f>
        <v/>
      </c>
      <c r="Q177" s="18">
        <f>(O177+P177)</f>
        <v/>
      </c>
      <c r="S177" s="15">
        <f>H177</f>
        <v/>
      </c>
      <c r="T177" s="19">
        <f>IF(S177="ROCKIES",1.13,IF(S177="ATHLETICS",1.03,IF(S177="ROYALS",1.03,IF(S177="TWINS",1,IF(S177="TIGERS",1,IF(S177="MARLINS",1.01,IF(S177="REDS",1.05,IF(S177="RED SOX",1.04,IF(S177="YANKEES",1.02,IF(S177="DODGERS",0.99,IF(S177="PADRES",0.96,IF(S177="CUBS",0.98,IF(S177="GIANTS",0.97,IF(S177="MARINERS",0.94,IF(S177="RANGERS",1,IF(S177="ASTROS",0.99,IF(S177="BRAVES",1,IF(S177="METS",0.96,IF(S177="PHILLIES",1.02,IF(S177="BLUE JAYS",1.01,IF(S177="ORIOLES",0.99,IF(S177="RAYS",1.01,IF(S177="GUARDIANS",0.99,IF(S177="WHITE SOX",0.98,IF(S177="ANGELS",1.01,IF(S177="D-BACKS",1.01,IF(S177="BREWERS",0.99,IF(S177="CARDINALS",0.96,IF(S177="PIRATES",1.02,IF(S177="NATIONALS",1,1))))))))))))))))))))))))))))))*IF(W177="",1,(1+((W177-70)/10*0.035)))*IF(U177="DOME",1,IF(U177="IN",1-(V177*0.01),IF(U177="OUT",1+(V177*0.01),IF(OR(U177="L-R",U177="R-L"),1+(V177*0.005),1))))</f>
        <v/>
      </c>
      <c r="U177" s="15" t="inlineStr">
        <is>
          <t>IN</t>
        </is>
      </c>
      <c r="V177" s="15" t="n">
        <v>14</v>
      </c>
      <c r="W177" s="15" t="n">
        <v>72</v>
      </c>
      <c r="Y177">
        <f>B177 &amp; " vs. " &amp; H177</f>
        <v/>
      </c>
      <c r="Z177">
        <f>TRIM(LEFT(Y177, FIND("vs.", Y177)-1))</f>
        <v/>
      </c>
      <c r="AA177">
        <f>TRIM(MID(Y177, FIND(" vs. ", Y177)+4, 100))</f>
        <v/>
      </c>
      <c r="AB177" s="29">
        <f>IF(Q177 &gt; VALUE(AC177), "O " &amp; AC177, IF(Q177 &lt; VALUE(AC177), "U " &amp; AC177, AC177))</f>
        <v/>
      </c>
      <c r="AC177" s="15">
        <f>IF(OR(O177="-", P177="-"), "-", MROUND(O177 + P177, 0.5))</f>
        <v/>
      </c>
      <c r="AD177" s="15">
        <f>VALUE(TRIM(RIGHT(AF177, LEN(AF177) - FIND(" ", AF177))))</f>
        <v/>
      </c>
      <c r="AE177" s="15">
        <f>LEFT(AF177,FIND(" ",AF177)-1)</f>
        <v/>
      </c>
      <c r="AF177" s="15">
        <f>IF(OR(O177="-", P177="-"), "-",
IF(MROUND(ABS(O177-P177),0.5)&lt;=0.5,
IF(O177&gt;P177, B177 &amp; " ML", H177 &amp; " ML"),
IF(MROUND(ABS(O177-P177),0.5)=1,
IF(O177&gt;P177, H177 &amp; " +1.5", B177 &amp; " +1.5"),
IF(O177&gt;P177, B177 &amp; " -1.5", H177 &amp; " -1.5")
)
)
)</f>
        <v/>
      </c>
      <c r="AG177" s="15">
        <f>_xlfn.LET(
_xlpm.winA, O177^1.83 / (O177^1.83 + P177^1.83),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78">
      <c r="A178" s="14" t="n">
        <v>46120</v>
      </c>
      <c r="B178" s="15" t="inlineStr">
        <is>
          <t>PHILLIES</t>
        </is>
      </c>
      <c r="C178">
        <f>VLOOKUP(B178, 'MLB Data'!$B$5:$D$34, 3, FALSE)</f>
        <v/>
      </c>
      <c r="D178" s="16" t="inlineStr">
        <is>
          <t>NOLA</t>
        </is>
      </c>
      <c r="E178" s="17" t="n">
        <v>4.084</v>
      </c>
      <c r="F178" s="17">
        <f>VLOOKUP(B178, 'MLB Data'!$F$2:$H$34, 3, FALSE)</f>
        <v/>
      </c>
      <c r="G178" s="17">
        <f>IF((E178*0.6+F178*0.4)&lt;2.5, 2.8, IF((E178*0.6+F178*0.4)&gt;5.5, 5.2, (E178*0.6+F178*0.4)))</f>
        <v/>
      </c>
      <c r="H178" s="15" t="inlineStr">
        <is>
          <t>GIANTS</t>
        </is>
      </c>
      <c r="I178">
        <f>VLOOKUP(H178, 'MLB Data'!$B$5:$D$34, 3, FALSE)</f>
        <v/>
      </c>
      <c r="J178" s="16" t="inlineStr">
        <is>
          <t>MAHLE</t>
        </is>
      </c>
      <c r="K178" s="17" t="n">
        <v>4.156000000000001</v>
      </c>
      <c r="L178" s="17">
        <f>VLOOKUP(H178, 'MLB Data'!$F$2:$H$34, 3, FALSE)</f>
        <v/>
      </c>
      <c r="M178" s="17">
        <f>IF((K178*0.6+L178*0.4)&lt;2.5, 2.8, IF((K178*0.6+L178*0.4)&gt;5.5, 5.2, (K178*0.6+L178*0.4)))</f>
        <v/>
      </c>
      <c r="O178" s="18">
        <f>(C178/100) * 4.1 * (M178 / 4.2) * T178</f>
        <v/>
      </c>
      <c r="P178" s="18">
        <f>(I178/100) * 4.1 * (G178 / 4.2) * T178</f>
        <v/>
      </c>
      <c r="Q178" s="18">
        <f>(O178+P178)</f>
        <v/>
      </c>
      <c r="S178" s="15">
        <f>H178</f>
        <v/>
      </c>
      <c r="T178" s="19">
        <f>IF(S178="ROCKIES",1.13,IF(S178="ATHLETICS",1.03,IF(S178="ROYALS",1.03,IF(S178="TWINS",1,IF(S178="TIGERS",1,IF(S178="MARLINS",1.01,IF(S178="REDS",1.05,IF(S178="RED SOX",1.04,IF(S178="YANKEES",1.02,IF(S178="DODGERS",0.99,IF(S178="PADRES",0.96,IF(S178="CUBS",0.98,IF(S178="GIANTS",0.97,IF(S178="MARINERS",0.94,IF(S178="RANGERS",1,IF(S178="ASTROS",0.99,IF(S178="BRAVES",1,IF(S178="METS",0.96,IF(S178="PHILLIES",1.02,IF(S178="BLUE JAYS",1.01,IF(S178="ORIOLES",0.99,IF(S178="RAYS",1.01,IF(S178="GUARDIANS",0.99,IF(S178="WHITE SOX",0.98,IF(S178="ANGELS",1.01,IF(S178="D-BACKS",1.01,IF(S178="BREWERS",0.99,IF(S178="CARDINALS",0.96,IF(S178="PIRATES",1.02,IF(S178="NATIONALS",1,1))))))))))))))))))))))))))))))*IF(W178="",1,(1+((W178-70)/10*0.035)))*IF(U178="DOME",1,IF(U178="IN",1-(V178*0.01),IF(U178="OUT",1+(V178*0.01),IF(OR(U178="L-R",U178="R-L"),1+(V178*0.005),1))))</f>
        <v/>
      </c>
      <c r="U178" s="15" t="inlineStr">
        <is>
          <t>OUT</t>
        </is>
      </c>
      <c r="V178" s="15" t="n">
        <v>7</v>
      </c>
      <c r="W178" s="15" t="n">
        <v>63</v>
      </c>
      <c r="Y178">
        <f>B178 &amp; " vs. " &amp; H178</f>
        <v/>
      </c>
      <c r="Z178">
        <f>TRIM(LEFT(Y178, FIND("vs.", Y178)-1))</f>
        <v/>
      </c>
      <c r="AA178">
        <f>TRIM(MID(Y178, FIND(" vs. ", Y178)+4, 100))</f>
        <v/>
      </c>
      <c r="AB178" s="30">
        <f>IF(Q178 &gt; VALUE(AC178), "O " &amp; AC178, IF(Q178 &lt; VALUE(AC178), "U " &amp; AC178, AC178))</f>
        <v/>
      </c>
      <c r="AC178" s="15">
        <f>IF(OR(O178="-", P178="-"), "-", MROUND(O178 + P178, 0.5))</f>
        <v/>
      </c>
      <c r="AD178" s="15">
        <f>VALUE(TRIM(RIGHT(AF178, LEN(AF178) - FIND(" ", AF178))))</f>
        <v/>
      </c>
      <c r="AE178" s="15">
        <f>LEFT(AF178,FIND(" ",AF178)-1)</f>
        <v/>
      </c>
      <c r="AF178" s="15">
        <f>IF(OR(O178="-", P178="-"), "-",
IF(MROUND(ABS(O178-P178),0.5)&lt;=0.5,
IF(O178&gt;P178, B178 &amp; " ML", H178 &amp; " ML"),
IF(MROUND(ABS(O178-P178),0.5)=1,
IF(O178&gt;P178, H178 &amp; " +1.5", B178 &amp; " +1.5"),
IF(O178&gt;P178, B178 &amp; " -1.5", H178 &amp; " -1.5")
)
)
)</f>
        <v/>
      </c>
      <c r="AG178" s="15">
        <f>_xlfn.LET(
_xlpm.winA, O178^1.83 / (O178^1.83 + P178^1.83),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79">
      <c r="A179" s="14" t="n">
        <v>46120</v>
      </c>
      <c r="B179" s="15" t="inlineStr">
        <is>
          <t>CARDINALS</t>
        </is>
      </c>
      <c r="C179">
        <f>VLOOKUP(B179, 'MLB Data'!$B$5:$D$34, 3, FALSE)</f>
        <v/>
      </c>
      <c r="D179" s="16" t="inlineStr">
        <is>
          <t>MCGREEVY</t>
        </is>
      </c>
      <c r="E179" s="17" t="n">
        <v>4.162000000000001</v>
      </c>
      <c r="F179" s="17">
        <f>VLOOKUP(B179, 'MLB Data'!$F$2:$H$34, 3, FALSE)</f>
        <v/>
      </c>
      <c r="G179" s="17">
        <f>IF((E179*0.6+F179*0.4)&lt;2.5, 2.8, IF((E179*0.6+F179*0.4)&gt;5.5, 5.2, (E179*0.6+F179*0.4)))</f>
        <v/>
      </c>
      <c r="H179" s="15" t="inlineStr">
        <is>
          <t>NATIONALS</t>
        </is>
      </c>
      <c r="I179">
        <f>VLOOKUP(H179, 'MLB Data'!$B$5:$D$34, 3, FALSE)</f>
        <v/>
      </c>
      <c r="J179" s="16" t="inlineStr">
        <is>
          <t>MIKOLAS</t>
        </is>
      </c>
      <c r="K179" s="17" t="n">
        <v>5.206</v>
      </c>
      <c r="L179" s="17">
        <f>VLOOKUP(H179, 'MLB Data'!$F$2:$H$34, 3, FALSE)</f>
        <v/>
      </c>
      <c r="M179" s="17">
        <f>IF((K179*0.6+L179*0.4)&lt;2.5, 2.8, IF((K179*0.6+L179*0.4)&gt;5.5, 5.2, (K179*0.6+L179*0.4)))</f>
        <v/>
      </c>
      <c r="O179" s="18">
        <f>(C179/100) * 4.1 * (M179 / 4.2) * T179</f>
        <v/>
      </c>
      <c r="P179" s="18">
        <f>(I179/100) * 4.1 * (G179 / 4.2) * T179</f>
        <v/>
      </c>
      <c r="Q179" s="18">
        <f>(O179+P179)</f>
        <v/>
      </c>
      <c r="S179" s="15">
        <f>H179</f>
        <v/>
      </c>
      <c r="T179" s="19">
        <f>IF(S179="ROCKIES",1.13,IF(S179="ATHLETICS",1.03,IF(S179="ROYALS",1.03,IF(S179="TWINS",1,IF(S179="TIGERS",1,IF(S179="MARLINS",1.01,IF(S179="REDS",1.05,IF(S179="RED SOX",1.04,IF(S179="YANKEES",1.02,IF(S179="DODGERS",0.99,IF(S179="PADRES",0.96,IF(S179="CUBS",0.98,IF(S179="GIANTS",0.97,IF(S179="MARINERS",0.94,IF(S179="RANGERS",1,IF(S179="ASTROS",0.99,IF(S179="BRAVES",1,IF(S179="METS",0.96,IF(S179="PHILLIES",1.02,IF(S179="BLUE JAYS",1.01,IF(S179="ORIOLES",0.99,IF(S179="RAYS",1.01,IF(S179="GUARDIANS",0.99,IF(S179="WHITE SOX",0.98,IF(S179="ANGELS",1.01,IF(S179="D-BACKS",1.01,IF(S179="BREWERS",0.99,IF(S179="CARDINALS",0.96,IF(S179="PIRATES",1.02,IF(S179="NATIONALS",1,1))))))))))))))))))))))))))))))*IF(W179="",1,(1+((W179-70)/10*0.035)))*IF(U179="DOME",1,IF(U179="IN",1-(V179*0.01),IF(U179="OUT",1+(V179*0.01),IF(OR(U179="L-R",U179="R-L"),1+(V179*0.005),1))))</f>
        <v/>
      </c>
      <c r="U179" s="15" t="inlineStr">
        <is>
          <t>R-L</t>
        </is>
      </c>
      <c r="V179" s="15" t="n">
        <v>6</v>
      </c>
      <c r="W179" s="15" t="n">
        <v>53</v>
      </c>
      <c r="Y179">
        <f>B179 &amp; " vs. " &amp; H179</f>
        <v/>
      </c>
      <c r="Z179">
        <f>TRIM(LEFT(Y179, FIND("vs.", Y179)-1))</f>
        <v/>
      </c>
      <c r="AA179">
        <f>TRIM(MID(Y179, FIND(" vs. ", Y179)+4, 100))</f>
        <v/>
      </c>
      <c r="AB179" s="29">
        <f>IF(Q179 &gt; VALUE(AC179), "O " &amp; AC179, IF(Q179 &lt; VALUE(AC179), "U " &amp; AC179, AC179))</f>
        <v/>
      </c>
      <c r="AC179" s="15">
        <f>IF(OR(O179="-", P179="-"), "-", MROUND(O179 + P179, 0.5))</f>
        <v/>
      </c>
      <c r="AD179" s="15">
        <f>VALUE(TRIM(RIGHT(AF179, LEN(AF179) - FIND(" ", AF179))))</f>
        <v/>
      </c>
      <c r="AE179" s="15">
        <f>LEFT(AF179,FIND(" ",AF179)-1)</f>
        <v/>
      </c>
      <c r="AF179" s="15">
        <f>IF(OR(O179="-", P179="-"), "-",
IF(MROUND(ABS(O179-P179),0.5)&lt;=0.5,
IF(O179&gt;P179, B179 &amp; " ML", H179 &amp; " ML"),
IF(MROUND(ABS(O179-P179),0.5)=1,
IF(O179&gt;P179, H179 &amp; " +1.5", B179 &amp; " +1.5"),
IF(O179&gt;P179, B179 &amp; " -1.5", H179 &amp; " -1.5")
)
)
)</f>
        <v/>
      </c>
      <c r="AG179" s="15">
        <f>_xlfn.LET(
_xlpm.winA, O179^1.83 / (O179^1.83 + P179^1.83),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80">
      <c r="A180" s="14" t="n">
        <v>46120</v>
      </c>
      <c r="B180" s="15" t="inlineStr">
        <is>
          <t>BRAVES</t>
        </is>
      </c>
      <c r="C180">
        <f>VLOOKUP(B180, 'MLB Data'!$B$5:$D$34, 3, FALSE)</f>
        <v/>
      </c>
      <c r="D180" s="16" t="inlineStr">
        <is>
          <t>HOLMES</t>
        </is>
      </c>
      <c r="E180" s="17" t="n">
        <v>4.098</v>
      </c>
      <c r="F180" s="17">
        <f>VLOOKUP(B180, 'MLB Data'!$F$2:$H$34, 3, FALSE)</f>
        <v/>
      </c>
      <c r="G180" s="17">
        <f>IF((E180*0.6+F180*0.4)&lt;2.5, 2.8, IF((E180*0.6+F180*0.4)&gt;5.5, 5.2, (E180*0.6+F180*0.4)))</f>
        <v/>
      </c>
      <c r="H180" s="15" t="inlineStr">
        <is>
          <t>ANGELS</t>
        </is>
      </c>
      <c r="I180">
        <f>VLOOKUP(H180, 'MLB Data'!$B$5:$D$34, 3, FALSE)</f>
        <v/>
      </c>
      <c r="J180" s="16" t="inlineStr">
        <is>
          <t>DETMERS</t>
        </is>
      </c>
      <c r="K180" s="17" t="n">
        <v>4.032</v>
      </c>
      <c r="L180" s="17">
        <f>VLOOKUP(H180, 'MLB Data'!$F$2:$H$34, 3, FALSE)</f>
        <v/>
      </c>
      <c r="M180" s="17">
        <f>IF((K180*0.6+L180*0.4)&lt;2.5, 2.8, IF((K180*0.6+L180*0.4)&gt;5.5, 5.2, (K180*0.6+L180*0.4)))</f>
        <v/>
      </c>
      <c r="O180" s="18">
        <f>(C180/100) * 4.1 * (M180 / 4.2) * T180</f>
        <v/>
      </c>
      <c r="P180" s="18">
        <f>(I180/100) * 4.1 * (G180 / 4.2) * T180</f>
        <v/>
      </c>
      <c r="Q180" s="18">
        <f>(O180+P180)</f>
        <v/>
      </c>
      <c r="S180" s="15">
        <f>H180</f>
        <v/>
      </c>
      <c r="T180" s="19">
        <f>IF(S180="ROCKIES",1.13,IF(S180="ATHLETICS",1.03,IF(S180="ROYALS",1.03,IF(S180="TWINS",1,IF(S180="TIGERS",1,IF(S180="MARLINS",1.01,IF(S180="REDS",1.05,IF(S180="RED SOX",1.04,IF(S180="YANKEES",1.02,IF(S180="DODGERS",0.99,IF(S180="PADRES",0.96,IF(S180="CUBS",0.98,IF(S180="GIANTS",0.97,IF(S180="MARINERS",0.94,IF(S180="RANGERS",1,IF(S180="ASTROS",0.99,IF(S180="BRAVES",1,IF(S180="METS",0.96,IF(S180="PHILLIES",1.02,IF(S180="BLUE JAYS",1.01,IF(S180="ORIOLES",0.99,IF(S180="RAYS",1.01,IF(S180="GUARDIANS",0.99,IF(S180="WHITE SOX",0.98,IF(S180="ANGELS",1.01,IF(S180="D-BACKS",1.01,IF(S180="BREWERS",0.99,IF(S180="CARDINALS",0.96,IF(S180="PIRATES",1.02,IF(S180="NATIONALS",1,1))))))))))))))))))))))))))))))*IF(W180="",1,(1+((W180-70)/10*0.035)))*IF(U180="DOME",1,IF(U180="IN",1-(V180*0.01),IF(U180="OUT",1+(V180*0.01),IF(OR(U180="L-R",U180="R-L"),1+(V180*0.005),1))))</f>
        <v/>
      </c>
      <c r="U180" s="15" t="inlineStr">
        <is>
          <t>OUT</t>
        </is>
      </c>
      <c r="V180" s="15" t="n">
        <v>8</v>
      </c>
      <c r="W180" s="15" t="n">
        <v>77</v>
      </c>
      <c r="Y180">
        <f>B180 &amp; " vs. " &amp; H180</f>
        <v/>
      </c>
      <c r="Z180">
        <f>TRIM(LEFT(Y180, FIND("vs.", Y180)-1))</f>
        <v/>
      </c>
      <c r="AA180">
        <f>TRIM(MID(Y180, FIND(" vs. ", Y180)+4, 100))</f>
        <v/>
      </c>
      <c r="AB180" s="29">
        <f>IF(Q180 &gt; VALUE(AC180), "O " &amp; AC180, IF(Q180 &lt; VALUE(AC180), "U " &amp; AC180, AC180))</f>
        <v/>
      </c>
      <c r="AC180" s="15">
        <f>IF(OR(O180="-", P180="-"), "-", MROUND(O180 + P180, 0.5))</f>
        <v/>
      </c>
      <c r="AD180" s="15">
        <f>VALUE(TRIM(RIGHT(AF180, LEN(AF180) - FIND(" ", AF180))))</f>
        <v/>
      </c>
      <c r="AE180" s="15">
        <f>LEFT(AF180,FIND(" ",AF180)-1)</f>
        <v/>
      </c>
      <c r="AF180" s="15">
        <f>IF(OR(O180="-", P180="-"), "-",
IF(MROUND(ABS(O180-P180),0.5)&lt;=0.5,
IF(O180&gt;P180, B180 &amp; " ML", H180 &amp; " ML"),
IF(MROUND(ABS(O180-P180),0.5)=1,
IF(O180&gt;P180, H180 &amp; " +1.5", B180 &amp; " +1.5"),
IF(O180&gt;P180, B180 &amp; " -1.5", H180 &amp; " -1.5")
)
)
)</f>
        <v/>
      </c>
      <c r="AG180" s="15">
        <f>_xlfn.LET(
_xlpm.winA, O180^1.83 / (O180^1.83 + P180^1.83),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81">
      <c r="A181" s="14" t="n">
        <v>46120</v>
      </c>
      <c r="B181" s="15" t="inlineStr">
        <is>
          <t>D-BACKS</t>
        </is>
      </c>
      <c r="C181">
        <f>VLOOKUP(B181, 'MLB Data'!$B$5:$D$34, 3, FALSE)</f>
        <v/>
      </c>
      <c r="D181" s="16" t="inlineStr">
        <is>
          <t>NELSON</t>
        </is>
      </c>
      <c r="E181" s="17" t="n">
        <v>4.576000000000001</v>
      </c>
      <c r="F181" s="17">
        <f>VLOOKUP(B181, 'MLB Data'!$F$2:$H$34, 3, FALSE)</f>
        <v/>
      </c>
      <c r="G181" s="17">
        <f>IF((E181*0.6+F181*0.4)&lt;2.5, 2.8, IF((E181*0.6+F181*0.4)&gt;5.5, 5.2, (E181*0.6+F181*0.4)))</f>
        <v/>
      </c>
      <c r="H181" s="15" t="inlineStr">
        <is>
          <t>METS</t>
        </is>
      </c>
      <c r="I181">
        <f>VLOOKUP(H181, 'MLB Data'!$B$5:$D$34, 3, FALSE)</f>
        <v/>
      </c>
      <c r="J181" s="16" t="inlineStr">
        <is>
          <t>PETERSON</t>
        </is>
      </c>
      <c r="K181" s="17" t="n">
        <v>3.942</v>
      </c>
      <c r="L181" s="17">
        <f>VLOOKUP(H181, 'MLB Data'!$F$2:$H$34, 3, FALSE)</f>
        <v/>
      </c>
      <c r="M181" s="17">
        <f>IF((K181*0.6+L181*0.4)&lt;2.5, 2.8, IF((K181*0.6+L181*0.4)&gt;5.5, 5.2, (K181*0.6+L181*0.4)))</f>
        <v/>
      </c>
      <c r="O181" s="18">
        <f>(C181/100) * 4.1 * (M181 / 4.2) * T181</f>
        <v/>
      </c>
      <c r="P181" s="18">
        <f>(I181/100) * 4.1 * (G181 / 4.2) * T181</f>
        <v/>
      </c>
      <c r="Q181" s="18">
        <f>(O181+P181)</f>
        <v/>
      </c>
      <c r="S181" s="15">
        <f>H181</f>
        <v/>
      </c>
      <c r="T181" s="19">
        <f>IF(S181="ROCKIES",1.13,IF(S181="ATHLETICS",1.03,IF(S181="ROYALS",1.03,IF(S181="TWINS",1,IF(S181="TIGERS",1,IF(S181="MARLINS",1.01,IF(S181="REDS",1.05,IF(S181="RED SOX",1.04,IF(S181="YANKEES",1.02,IF(S181="DODGERS",0.99,IF(S181="PADRES",0.96,IF(S181="CUBS",0.98,IF(S181="GIANTS",0.97,IF(S181="MARINERS",0.94,IF(S181="RANGERS",1,IF(S181="ASTROS",0.99,IF(S181="BRAVES",1,IF(S181="METS",0.96,IF(S181="PHILLIES",1.02,IF(S181="BLUE JAYS",1.01,IF(S181="ORIOLES",0.99,IF(S181="RAYS",1.01,IF(S181="GUARDIANS",0.99,IF(S181="WHITE SOX",0.98,IF(S181="ANGELS",1.01,IF(S181="D-BACKS",1.01,IF(S181="BREWERS",0.99,IF(S181="CARDINALS",0.96,IF(S181="PIRATES",1.02,IF(S181="NATIONALS",1,1))))))))))))))))))))))))))))))*IF(W181="",1,(1+((W181-70)/10*0.035)))*IF(U181="DOME",1,IF(U181="IN",1-(V181*0.01),IF(U181="OUT",1+(V181*0.01),IF(OR(U181="L-R",U181="R-L"),1+(V181*0.005),1))))</f>
        <v/>
      </c>
      <c r="U181" s="15" t="inlineStr">
        <is>
          <t>OUT</t>
        </is>
      </c>
      <c r="V181" s="15" t="n">
        <v>11</v>
      </c>
      <c r="W181" s="15" t="n">
        <v>45</v>
      </c>
      <c r="Y181">
        <f>B181 &amp; " vs. " &amp; H181</f>
        <v/>
      </c>
      <c r="Z181">
        <f>TRIM(LEFT(Y181, FIND("vs.", Y181)-1))</f>
        <v/>
      </c>
      <c r="AA181">
        <f>TRIM(MID(Y181, FIND(" vs. ", Y181)+4, 100))</f>
        <v/>
      </c>
      <c r="AB181" s="29">
        <f>IF(Q181 &gt; VALUE(AC181), "O " &amp; AC181, IF(Q181 &lt; VALUE(AC181), "U " &amp; AC181, AC181))</f>
        <v/>
      </c>
      <c r="AC181" s="15">
        <f>IF(OR(O181="-", P181="-"), "-", MROUND(O181 + P181, 0.5))</f>
        <v/>
      </c>
      <c r="AD181" s="15">
        <f>VALUE(TRIM(RIGHT(AF181, LEN(AF181) - FIND(" ", AF181))))</f>
        <v/>
      </c>
      <c r="AE181" s="15">
        <f>LEFT(AF181,FIND(" ",AF181)-1)</f>
        <v/>
      </c>
      <c r="AF181" s="15">
        <f>IF(OR(O181="-", P181="-"), "-",
IF(MROUND(ABS(O181-P181),0.5)&lt;=0.5,
IF(O181&gt;P181, B181 &amp; " ML", H181 &amp; " ML"),
IF(MROUND(ABS(O181-P181),0.5)=1,
IF(O181&gt;P181, H181 &amp; " +1.5", B181 &amp; " +1.5"),
IF(O181&gt;P181, B181 &amp; " -1.5", H181 &amp; " -1.5")
)
)
)</f>
        <v/>
      </c>
      <c r="AG181" s="15">
        <f>_xlfn.LET(
_xlpm.winA, O181^1.83 / (O181^1.83 + P181^1.83),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82">
      <c r="A182" s="14" t="n">
        <v>46120</v>
      </c>
      <c r="B182" s="15" t="inlineStr">
        <is>
          <t>CUBS</t>
        </is>
      </c>
      <c r="C182">
        <f>VLOOKUP(B182, 'MLB Data'!$B$5:$D$34, 3, FALSE)</f>
        <v/>
      </c>
      <c r="D182" s="16" t="inlineStr">
        <is>
          <t>REA</t>
        </is>
      </c>
      <c r="E182" s="17" t="n">
        <v>4.11</v>
      </c>
      <c r="F182" s="17">
        <f>VLOOKUP(B182, 'MLB Data'!$F$2:$H$34, 3, FALSE)</f>
        <v/>
      </c>
      <c r="G182" s="17">
        <f>IF((E182*0.6+F182*0.4)&lt;2.5, 2.8, IF((E182*0.6+F182*0.4)&gt;5.5, 5.2, (E182*0.6+F182*0.4)))</f>
        <v/>
      </c>
      <c r="H182" s="15" t="inlineStr">
        <is>
          <t>RAYS</t>
        </is>
      </c>
      <c r="I182">
        <f>VLOOKUP(H182, 'MLB Data'!$B$5:$D$34, 3, FALSE)</f>
        <v/>
      </c>
      <c r="J182" s="16" t="inlineStr">
        <is>
          <t>BOYLE</t>
        </is>
      </c>
      <c r="K182" s="17" t="n">
        <v>4.086</v>
      </c>
      <c r="L182" s="17">
        <f>VLOOKUP(H182, 'MLB Data'!$F$2:$H$34, 3, FALSE)</f>
        <v/>
      </c>
      <c r="M182" s="17">
        <f>IF((K182*0.6+L182*0.4)&lt;2.5, 2.8, IF((K182*0.6+L182*0.4)&gt;5.5, 5.2, (K182*0.6+L182*0.4)))</f>
        <v/>
      </c>
      <c r="O182" s="18">
        <f>(C182/100) * 4.1 * (M182 / 4.2) * T182</f>
        <v/>
      </c>
      <c r="P182" s="18">
        <f>(I182/100) * 4.1 * (G182 / 4.2) * T182</f>
        <v/>
      </c>
      <c r="Q182" s="18">
        <f>(O182+P182)</f>
        <v/>
      </c>
      <c r="S182" s="15">
        <f>H182</f>
        <v/>
      </c>
      <c r="T182" s="19">
        <f>IF(S182="ROCKIES",1.13,IF(S182="ATHLETICS",1.03,IF(S182="ROYALS",1.03,IF(S182="TWINS",1,IF(S182="TIGERS",1,IF(S182="MARLINS",1.01,IF(S182="REDS",1.05,IF(S182="RED SOX",1.04,IF(S182="YANKEES",1.02,IF(S182="DODGERS",0.99,IF(S182="PADRES",0.96,IF(S182="CUBS",0.98,IF(S182="GIANTS",0.97,IF(S182="MARINERS",0.94,IF(S182="RANGERS",1,IF(S182="ASTROS",0.99,IF(S182="BRAVES",1,IF(S182="METS",0.96,IF(S182="PHILLIES",1.02,IF(S182="BLUE JAYS",1.01,IF(S182="ORIOLES",0.99,IF(S182="RAYS",1.01,IF(S182="GUARDIANS",0.99,IF(S182="WHITE SOX",0.98,IF(S182="ANGELS",1.01,IF(S182="D-BACKS",1.01,IF(S182="BREWERS",0.99,IF(S182="CARDINALS",0.96,IF(S182="PIRATES",1.02,IF(S182="NATIONALS",1,1))))))))))))))))))))))))))))))*IF(W182="",1,(1+((W182-70)/10*0.035)))*IF(U182="DOME",1,IF(U182="IN",1-(V182*0.01),IF(U182="OUT",1+(V182*0.01),IF(OR(U182="L-R",U182="R-L"),1+(V182*0.005),1))))</f>
        <v/>
      </c>
      <c r="U182" s="15" t="inlineStr">
        <is>
          <t>DOME</t>
        </is>
      </c>
      <c r="V182" s="15" t="n"/>
      <c r="W182" s="15" t="n"/>
      <c r="Y182">
        <f>B182 &amp; " vs. " &amp; H182</f>
        <v/>
      </c>
      <c r="Z182">
        <f>TRIM(LEFT(Y182, FIND("vs.", Y182)-1))</f>
        <v/>
      </c>
      <c r="AA182">
        <f>TRIM(MID(Y182, FIND(" vs. ", Y182)+4, 100))</f>
        <v/>
      </c>
      <c r="AB182" s="29">
        <f>IF(Q182 &gt; VALUE(AC182), "O " &amp; AC182, IF(Q182 &lt; VALUE(AC182), "U " &amp; AC182, AC182))</f>
        <v/>
      </c>
      <c r="AC182" s="15">
        <f>IF(OR(O182="-", P182="-"), "-", MROUND(O182 + P182, 0.5))</f>
        <v/>
      </c>
      <c r="AD182" s="15">
        <f>VALUE(TRIM(RIGHT(AF182, LEN(AF182) - FIND(" ", AF182))))</f>
        <v/>
      </c>
      <c r="AE182" s="15">
        <f>LEFT(AF182,FIND(" ",AF182)-1)</f>
        <v/>
      </c>
      <c r="AF182" s="15">
        <f>IF(OR(O182="-", P182="-"), "-",
IF(MROUND(ABS(O182-P182),0.5)&lt;=0.5,
IF(O182&gt;P182, B182 &amp; " ML", H182 &amp; " ML"),
IF(MROUND(ABS(O182-P182),0.5)=1,
IF(O182&gt;P182, H182 &amp; " +1.5", B182 &amp; " +1.5"),
IF(O182&gt;P182, B182 &amp; " -1.5", H182 &amp; " -1.5")
)
)
)</f>
        <v/>
      </c>
      <c r="AG182" s="15">
        <f>_xlfn.LET(
_xlpm.winA, O182^1.83 / (O182^1.83 + P182^1.83),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83">
      <c r="A183" s="14" t="n">
        <v>46120</v>
      </c>
      <c r="B183" s="15" t="inlineStr">
        <is>
          <t>REDS</t>
        </is>
      </c>
      <c r="C183">
        <f>VLOOKUP(B183, 'MLB Data'!$B$5:$D$34, 3, FALSE)</f>
        <v/>
      </c>
      <c r="D183" s="16" t="inlineStr">
        <is>
          <t>SINGER</t>
        </is>
      </c>
      <c r="E183" s="17" t="n">
        <v>4.422000000000001</v>
      </c>
      <c r="F183" s="17">
        <f>VLOOKUP(B183, 'MLB Data'!$F$2:$H$34, 3, FALSE)</f>
        <v/>
      </c>
      <c r="G183" s="17">
        <f>IF((E183*0.6+F183*0.4)&lt;2.5, 2.8, IF((E183*0.6+F183*0.4)&gt;5.5, 5.2, (E183*0.6+F183*0.4)))</f>
        <v/>
      </c>
      <c r="H183" s="15" t="inlineStr">
        <is>
          <t>MARLINS</t>
        </is>
      </c>
      <c r="I183">
        <f>VLOOKUP(H183, 'MLB Data'!$B$5:$D$34, 3, FALSE)</f>
        <v/>
      </c>
      <c r="J183" s="16" t="inlineStr">
        <is>
          <t>PEREZ</t>
        </is>
      </c>
      <c r="K183" s="17" t="n">
        <v>4.9</v>
      </c>
      <c r="L183" s="17">
        <f>VLOOKUP(H183, 'MLB Data'!$F$2:$H$34, 3, FALSE)</f>
        <v/>
      </c>
      <c r="M183" s="17">
        <f>IF((K183*0.6+L183*0.4)&lt;2.5, 2.8, IF((K183*0.6+L183*0.4)&gt;5.5, 5.2, (K183*0.6+L183*0.4)))</f>
        <v/>
      </c>
      <c r="O183" s="18">
        <f>(C183/100) * 4.1 * (M183 / 4.2) * T183</f>
        <v/>
      </c>
      <c r="P183" s="18">
        <f>(I183/100) * 4.1 * (G183 / 4.2) * T183</f>
        <v/>
      </c>
      <c r="Q183" s="18">
        <f>(O183+P183)</f>
        <v/>
      </c>
      <c r="S183" s="15">
        <f>H183</f>
        <v/>
      </c>
      <c r="T183" s="19">
        <f>IF(S183="ROCKIES",1.13,IF(S183="ATHLETICS",1.03,IF(S183="ROYALS",1.03,IF(S183="TWINS",1,IF(S183="TIGERS",1,IF(S183="MARLINS",1.01,IF(S183="REDS",1.05,IF(S183="RED SOX",1.04,IF(S183="YANKEES",1.02,IF(S183="DODGERS",0.99,IF(S183="PADRES",0.96,IF(S183="CUBS",0.98,IF(S183="GIANTS",0.97,IF(S183="MARINERS",0.94,IF(S183="RANGERS",1,IF(S183="ASTROS",0.99,IF(S183="BRAVES",1,IF(S183="METS",0.96,IF(S183="PHILLIES",1.02,IF(S183="BLUE JAYS",1.01,IF(S183="ORIOLES",0.99,IF(S183="RAYS",1.01,IF(S183="GUARDIANS",0.99,IF(S183="WHITE SOX",0.98,IF(S183="ANGELS",1.01,IF(S183="D-BACKS",1.01,IF(S183="BREWERS",0.99,IF(S183="CARDINALS",0.96,IF(S183="PIRATES",1.02,IF(S183="NATIONALS",1,1))))))))))))))))))))))))))))))*IF(W183="",1,(1+((W183-70)/10*0.035)))*IF(U183="DOME",1,IF(U183="IN",1-(V183*0.01),IF(U183="OUT",1+(V183*0.01),IF(OR(U183="L-R",U183="R-L"),1+(V183*0.005),1))))</f>
        <v/>
      </c>
      <c r="U183" s="15" t="inlineStr">
        <is>
          <t>DOME</t>
        </is>
      </c>
      <c r="V183" s="15" t="n">
        <v>14</v>
      </c>
      <c r="W183" s="15" t="n">
        <v>75</v>
      </c>
      <c r="Y183">
        <f>B183 &amp; " vs. " &amp; H183</f>
        <v/>
      </c>
      <c r="Z183">
        <f>TRIM(LEFT(Y183, FIND("vs.", Y183)-1))</f>
        <v/>
      </c>
      <c r="AA183">
        <f>TRIM(MID(Y183, FIND(" vs. ", Y183)+4, 100))</f>
        <v/>
      </c>
      <c r="AB183" s="30">
        <f>IF(Q183 &gt; VALUE(AC183), "O " &amp; AC183, IF(Q183 &lt; VALUE(AC183), "U " &amp; AC183, AC183))</f>
        <v/>
      </c>
      <c r="AC183" s="15">
        <f>IF(OR(O183="-", P183="-"), "-", MROUND(O183 + P183, 0.5))</f>
        <v/>
      </c>
      <c r="AD183" s="15">
        <f>VALUE(TRIM(RIGHT(AF183, LEN(AF183) - FIND(" ", AF183))))</f>
        <v/>
      </c>
      <c r="AE183" s="15">
        <f>LEFT(AF183,FIND(" ",AF183)-1)</f>
        <v/>
      </c>
      <c r="AF183" s="15">
        <f>IF(OR(O183="-", P183="-"), "-",
IF(MROUND(ABS(O183-P183),0.5)&lt;=0.5,
IF(O183&gt;P183, B183 &amp; " ML", H183 &amp; " ML"),
IF(MROUND(ABS(O183-P183),0.5)=1,
IF(O183&gt;P183, H183 &amp; " +1.5", B183 &amp; " +1.5"),
IF(O183&gt;P183, B183 &amp; " -1.5", H183 &amp; " -1.5")
)
)
)</f>
        <v/>
      </c>
      <c r="AG183" s="15">
        <f>_xlfn.LET(
_xlpm.winA, O183^1.83 / (O183^1.83 + P183^1.83),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84">
      <c r="A184" s="14" t="n">
        <v>46120</v>
      </c>
      <c r="B184" s="15" t="inlineStr">
        <is>
          <t>ATHLETICS</t>
        </is>
      </c>
      <c r="C184">
        <f>VLOOKUP(B184, 'MLB Data'!$B$5:$D$34, 3, FALSE)</f>
        <v/>
      </c>
      <c r="D184" s="16" t="inlineStr">
        <is>
          <t xml:space="preserve">SEVERINO </t>
        </is>
      </c>
      <c r="E184" s="17" t="n">
        <v>5.008</v>
      </c>
      <c r="F184" s="17">
        <f>VLOOKUP(B184, 'MLB Data'!$F$2:$H$34, 3, FALSE)</f>
        <v/>
      </c>
      <c r="G184" s="17">
        <f>IF((E184*0.6+F184*0.4)&lt;2.5, 2.8, IF((E184*0.6+F184*0.4)&gt;5.5, 5.2, (E184*0.6+F184*0.4)))</f>
        <v/>
      </c>
      <c r="H184" s="15" t="inlineStr">
        <is>
          <t>YANKEES</t>
        </is>
      </c>
      <c r="I184">
        <f>VLOOKUP(H184, 'MLB Data'!$B$5:$D$34, 3, FALSE)</f>
        <v/>
      </c>
      <c r="J184" s="16" t="inlineStr">
        <is>
          <t>WARREN</t>
        </is>
      </c>
      <c r="K184" s="17" t="n">
        <v>3.894</v>
      </c>
      <c r="L184" s="17">
        <f>VLOOKUP(H184, 'MLB Data'!$F$2:$H$34, 3, FALSE)</f>
        <v/>
      </c>
      <c r="M184" s="17">
        <f>IF((K184*0.6+L184*0.4)&lt;2.5, 2.8, IF((K184*0.6+L184*0.4)&gt;5.5, 5.2, (K184*0.6+L184*0.4)))</f>
        <v/>
      </c>
      <c r="O184" s="18">
        <f>(C184/100) * 4.1 * (M184 / 4.2) * T184</f>
        <v/>
      </c>
      <c r="P184" s="18">
        <f>(I184/100) * 4.1 * (G184 / 4.2) * T184</f>
        <v/>
      </c>
      <c r="Q184" s="18">
        <f>(O184+P184)</f>
        <v/>
      </c>
      <c r="S184" s="15">
        <f>H184</f>
        <v/>
      </c>
      <c r="T184" s="19">
        <f>IF(S184="ROCKIES",1.13,IF(S184="ATHLETICS",1.03,IF(S184="ROYALS",1.03,IF(S184="TWINS",1,IF(S184="TIGERS",1,IF(S184="MARLINS",1.01,IF(S184="REDS",1.05,IF(S184="RED SOX",1.04,IF(S184="YANKEES",1.02,IF(S184="DODGERS",0.99,IF(S184="PADRES",0.96,IF(S184="CUBS",0.98,IF(S184="GIANTS",0.97,IF(S184="MARINERS",0.94,IF(S184="RANGERS",1,IF(S184="ASTROS",0.99,IF(S184="BRAVES",1,IF(S184="METS",0.96,IF(S184="PHILLIES",1.02,IF(S184="BLUE JAYS",1.01,IF(S184="ORIOLES",0.99,IF(S184="RAYS",1.01,IF(S184="GUARDIANS",0.99,IF(S184="WHITE SOX",0.98,IF(S184="ANGELS",1.01,IF(S184="D-BACKS",1.01,IF(S184="BREWERS",0.99,IF(S184="CARDINALS",0.96,IF(S184="PIRATES",1.02,IF(S184="NATIONALS",1,1))))))))))))))))))))))))))))))*IF(W184="",1,(1+((W184-70)/10*0.035)))*IF(U184="DOME",1,IF(U184="IN",1-(V184*0.01),IF(U184="OUT",1+(V184*0.01),IF(OR(U184="L-R",U184="R-L"),1+(V184*0.005),1))))</f>
        <v/>
      </c>
      <c r="U184" s="15" t="inlineStr">
        <is>
          <t>L-R</t>
        </is>
      </c>
      <c r="V184" s="15" t="n">
        <v>7</v>
      </c>
      <c r="W184" s="15" t="n">
        <v>43</v>
      </c>
      <c r="Y184">
        <f>B184 &amp; " vs. " &amp; H184</f>
        <v/>
      </c>
      <c r="Z184">
        <f>TRIM(LEFT(Y184, FIND("vs.", Y184)-1))</f>
        <v/>
      </c>
      <c r="AA184">
        <f>TRIM(MID(Y184, FIND(" vs. ", Y184)+4, 100))</f>
        <v/>
      </c>
      <c r="AB184" s="29">
        <f>IF(Q184 &gt; VALUE(AC184), "O " &amp; AC184, IF(Q184 &lt; VALUE(AC184), "U " &amp; AC184, AC184))</f>
        <v/>
      </c>
      <c r="AC184" s="15">
        <f>IF(OR(O184="-", P184="-"), "-", MROUND(O184 + P184, 0.5))</f>
        <v/>
      </c>
      <c r="AD184" s="15">
        <f>VALUE(TRIM(RIGHT(AF184, LEN(AF184) - FIND(" ", AF184))))</f>
        <v/>
      </c>
      <c r="AE184" s="15">
        <f>LEFT(AF184,FIND(" ",AF184)-1)</f>
        <v/>
      </c>
      <c r="AF184" s="15">
        <f>IF(OR(O184="-", P184="-"), "-",
IF(MROUND(ABS(O184-P184),0.5)&lt;=0.5,
IF(O184&gt;P184, B184 &amp; " ML", H184 &amp; " ML"),
IF(MROUND(ABS(O184-P184),0.5)=1,
IF(O184&gt;P184, H184 &amp; " +1.5", B184 &amp; " +1.5"),
IF(O184&gt;P184, B184 &amp; " -1.5", H184 &amp; " -1.5")
)
)
)</f>
        <v/>
      </c>
      <c r="AG184" s="15">
        <f>_xlfn.LET(
_xlpm.winA, O184^1.83 / (O184^1.83 + P184^1.83),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85">
      <c r="A185" s="14" t="n">
        <v>46120</v>
      </c>
      <c r="B185" s="15" t="inlineStr">
        <is>
          <t>TIGERS</t>
        </is>
      </c>
      <c r="C185">
        <f>VLOOKUP(B185, 'MLB Data'!$B$5:$D$34, 3, FALSE)</f>
        <v/>
      </c>
      <c r="D185" s="16" t="inlineStr">
        <is>
          <t>VALDEZ</t>
        </is>
      </c>
      <c r="E185" s="17" t="n">
        <v>3.414</v>
      </c>
      <c r="F185" s="17">
        <f>VLOOKUP(B185, 'MLB Data'!$F$2:$H$34, 3, FALSE)</f>
        <v/>
      </c>
      <c r="G185" s="17">
        <f>IF((E185*0.6+F185*0.4)&lt;2.5, 2.8, IF((E185*0.6+F185*0.4)&gt;5.5, 5.2, (E185*0.6+F185*0.4)))</f>
        <v/>
      </c>
      <c r="H185" s="15" t="inlineStr">
        <is>
          <t>TWINS</t>
        </is>
      </c>
      <c r="I185">
        <f>VLOOKUP(H185, 'MLB Data'!$B$5:$D$34, 3, FALSE)</f>
        <v/>
      </c>
      <c r="J185" s="16" t="inlineStr">
        <is>
          <t>OBER</t>
        </is>
      </c>
      <c r="K185" s="17" t="n">
        <v>4.854</v>
      </c>
      <c r="L185" s="17">
        <f>VLOOKUP(H185, 'MLB Data'!$F$2:$H$34, 3, FALSE)</f>
        <v/>
      </c>
      <c r="M185" s="17">
        <f>IF((K185*0.6+L185*0.4)&lt;2.5, 2.8, IF((K185*0.6+L185*0.4)&gt;5.5, 5.2, (K185*0.6+L185*0.4)))</f>
        <v/>
      </c>
      <c r="O185" s="18">
        <f>(C185/100) * 4.1 * (M185 / 4.2) * T185</f>
        <v/>
      </c>
      <c r="P185" s="18">
        <f>(I185/100) * 4.1 * (G185 / 4.2) * T185</f>
        <v/>
      </c>
      <c r="Q185" s="18">
        <f>(O185+P185)</f>
        <v/>
      </c>
      <c r="S185" s="15">
        <f>H185</f>
        <v/>
      </c>
      <c r="T185" s="19">
        <f>IF(S185="ROCKIES",1.13,IF(S185="ATHLETICS",1.03,IF(S185="ROYALS",1.03,IF(S185="TWINS",1,IF(S185="TIGERS",1,IF(S185="MARLINS",1.01,IF(S185="REDS",1.05,IF(S185="RED SOX",1.04,IF(S185="YANKEES",1.02,IF(S185="DODGERS",0.99,IF(S185="PADRES",0.96,IF(S185="CUBS",0.98,IF(S185="GIANTS",0.97,IF(S185="MARINERS",0.94,IF(S185="RANGERS",1,IF(S185="ASTROS",0.99,IF(S185="BRAVES",1,IF(S185="METS",0.96,IF(S185="PHILLIES",1.02,IF(S185="BLUE JAYS",1.01,IF(S185="ORIOLES",0.99,IF(S185="RAYS",1.01,IF(S185="GUARDIANS",0.99,IF(S185="WHITE SOX",0.98,IF(S185="ANGELS",1.01,IF(S185="D-BACKS",1.01,IF(S185="BREWERS",0.99,IF(S185="CARDINALS",0.96,IF(S185="PIRATES",1.02,IF(S185="NATIONALS",1,1))))))))))))))))))))))))))))))*IF(W185="",1,(1+((W185-70)/10*0.035)))*IF(U185="DOME",1,IF(U185="IN",1-(V185*0.01),IF(U185="OUT",1+(V185*0.01),IF(OR(U185="L-R",U185="R-L"),1+(V185*0.005),1))))</f>
        <v/>
      </c>
      <c r="U185" s="15" t="inlineStr">
        <is>
          <t>OUT</t>
        </is>
      </c>
      <c r="V185" s="15" t="n">
        <v>12</v>
      </c>
      <c r="W185" s="15" t="n">
        <v>52</v>
      </c>
      <c r="Y185">
        <f>B185 &amp; " vs. " &amp; H185</f>
        <v/>
      </c>
      <c r="Z185">
        <f>TRIM(LEFT(Y185, FIND("vs.", Y185)-1))</f>
        <v/>
      </c>
      <c r="AA185">
        <f>TRIM(MID(Y185, FIND(" vs. ", Y185)+4, 100))</f>
        <v/>
      </c>
      <c r="AB185" s="29">
        <f>IF(Q185 &gt; VALUE(AC185), "O " &amp; AC185, IF(Q185 &lt; VALUE(AC185), "U " &amp; AC185, AC185))</f>
        <v/>
      </c>
      <c r="AC185" s="15">
        <f>IF(OR(O185="-", P185="-"), "-", MROUND(O185 + P185, 0.5))</f>
        <v/>
      </c>
      <c r="AD185" s="15">
        <f>VALUE(TRIM(RIGHT(AF185, LEN(AF185) - FIND(" ", AF185))))</f>
        <v/>
      </c>
      <c r="AE185" s="15">
        <f>LEFT(AF185,FIND(" ",AF185)-1)</f>
        <v/>
      </c>
      <c r="AF185" s="15">
        <f>IF(OR(O185="-", P185="-"), "-",
IF(MROUND(ABS(O185-P185),0.5)&lt;=0.5,
IF(O185&gt;P185, B185 &amp; " ML", H185 &amp; " ML"),
IF(MROUND(ABS(O185-P185),0.5)=1,
IF(O185&gt;P185, H185 &amp; " +1.5", B185 &amp; " +1.5"),
IF(O185&gt;P185, B185 &amp; " -1.5", H185 &amp; " -1.5")
)
)
)</f>
        <v/>
      </c>
      <c r="AG185" s="15">
        <f>_xlfn.LET(
_xlpm.winA, O185^1.83 / (O185^1.83 + P185^1.83),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86">
      <c r="A186" s="14" t="n">
        <v>46121</v>
      </c>
      <c r="B186" s="15" t="inlineStr">
        <is>
          <t>REDS</t>
        </is>
      </c>
      <c r="C186">
        <f>VLOOKUP(B186, 'MLB Data'!$B$5:$D$34, 3, FALSE)</f>
        <v/>
      </c>
      <c r="D186" s="16" t="inlineStr">
        <is>
          <t>LOWDER</t>
        </is>
      </c>
      <c r="E186" s="17" t="n">
        <v>4.5375</v>
      </c>
      <c r="F186" s="17">
        <f>VLOOKUP(B186, 'MLB Data'!$F$2:$H$34, 3, FALSE)</f>
        <v/>
      </c>
      <c r="G186" s="17">
        <f>IF((E186*0.6+F186*0.4)&lt;2.5, 2.8, IF((E186*0.6+F186*0.4)&gt;5.5, 5.2, (E186*0.6+F186*0.4)))</f>
        <v/>
      </c>
      <c r="H186" s="15" t="inlineStr">
        <is>
          <t>MARLINS</t>
        </is>
      </c>
      <c r="I186">
        <f>VLOOKUP(H186, 'MLB Data'!$B$5:$D$34, 3, FALSE)</f>
        <v/>
      </c>
      <c r="J186" s="16" t="inlineStr">
        <is>
          <t>MEYER</t>
        </is>
      </c>
      <c r="K186" s="17" t="n">
        <v>3.6725</v>
      </c>
      <c r="L186" s="17">
        <f>VLOOKUP(H186, 'MLB Data'!$F$2:$H$34, 3, FALSE)</f>
        <v/>
      </c>
      <c r="M186" s="17">
        <f>IF((K186*0.6+L186*0.4)&lt;2.5, 2.8, IF((K186*0.6+L186*0.4)&gt;5.5, 5.2, (K186*0.6+L186*0.4)))</f>
        <v/>
      </c>
      <c r="O186" s="18">
        <f>(C186/100) * 4.1 * (M186 / 4.2) * T186</f>
        <v/>
      </c>
      <c r="P186" s="18">
        <f>(I186/100) * 4.05 * (G186 / 4.2) * T186</f>
        <v/>
      </c>
      <c r="Q186" s="18">
        <f>(O186+P186)</f>
        <v/>
      </c>
      <c r="S186" s="15">
        <f>H186</f>
        <v/>
      </c>
      <c r="T186" s="19">
        <f>IF(S186="ROCKIES",1.13,IF(S186="ATHLETICS",1.03,IF(S186="ROYALS",1.03,IF(S186="TWINS",1,IF(S186="TIGERS",1,IF(S186="MARLINS",1.01,IF(S186="REDS",1.05,IF(S186="RED SOX",1.04,IF(S186="YANKEES",1.02,IF(S186="DODGERS",0.99,IF(S186="PADRES",0.96,IF(S186="CUBS",0.98,IF(S186="GIANTS",0.97,IF(S186="MARINERS",0.94,IF(S186="RANGERS",1,IF(S186="ASTROS",0.99,IF(S186="BRAVES",1,IF(S186="METS",0.96,IF(S186="PHILLIES",1.02,IF(S186="BLUE JAYS",1.01,IF(S186="ORIOLES",0.99,IF(S186="RAYS",1.01,IF(S186="GUARDIANS",0.99,IF(S186="WHITE SOX",0.98,IF(S186="ANGELS",1.01,IF(S186="D-BACKS",1.01,IF(S186="BREWERS",0.99,IF(S186="CARDINALS",0.96,IF(S186="PIRATES",1.02,IF(S186="NATIONALS",1,1))))))))))))))))))))))))))))))*IF(W186="",1,(1+((W186-70)/10*0.035)))*IF(U186="DOME",1,IF(U186="IN",1-(V186*0.01),IF(U186="OUT",1+(V186*0.01),IF(OR(U186="L-R",U186="R-L"),1+(V186*0.005),1))))</f>
        <v/>
      </c>
      <c r="U186" s="15" t="inlineStr">
        <is>
          <t>DOME</t>
        </is>
      </c>
      <c r="V186" s="15" t="n">
        <v>17</v>
      </c>
      <c r="W186" s="15" t="n">
        <v>75</v>
      </c>
      <c r="Y186">
        <f>B186 &amp; " vs. " &amp; H186</f>
        <v/>
      </c>
      <c r="Z186">
        <f>TRIM(LEFT(Y186, FIND("vs.", Y186)-1))</f>
        <v/>
      </c>
      <c r="AA186">
        <f>TRIM(MID(Y186, FIND(" vs. ", Y186)+4, 100))</f>
        <v/>
      </c>
      <c r="AB186" s="32">
        <f>IF(Q186 &gt; VALUE(AC186), "O " &amp; AC186, IF(Q186 &lt; VALUE(AC186), "U " &amp; AC186, AC186))</f>
        <v/>
      </c>
      <c r="AC186" s="15">
        <f>IF(OR(O186="-", P186="-"), "-", MROUND(O186 + P186, 0.5))</f>
        <v/>
      </c>
      <c r="AD186" s="15">
        <f>VALUE(TRIM(RIGHT(AF186, LEN(AF186) - FIND(" ", AF186))))</f>
        <v/>
      </c>
      <c r="AE186" s="15">
        <f>LEFT(AF186,FIND(" ",AF186)-1)</f>
        <v/>
      </c>
      <c r="AF186" s="33">
        <f>IF(OR(O186="-", P186="-"), "-",
    IF(MROUND(ABS(O186-P186),0.5)&lt;=0.5,
        IF(O186&gt;P186, B186 &amp; " ML", H186 &amp; " ML"),
        IF(MROUND(ABS(O186-P186),0.5)=1,
            IF(O186&gt;P186, H186 &amp; " +1.5", B186 &amp; " +1.5"),
            IF(O186&gt;P186, B186 &amp; " -1.5", H186 &amp; " -1.5")
        )
    )
)</f>
        <v/>
      </c>
      <c r="AG186" s="15">
        <f>_xlfn.LET(
    _xlpm.winA, O186^1.83 / (O186^1.83 + P186^1.83),
    _xlpm.winB, 1 - _xlpm.winA,
    _xlpm.oddsA, IF(_xlpm.winA &gt;= 0.5, "-" &amp; ROUND(_xlpm.winA / (1 - _xlpm.winA) * 100, 0), "+" &amp; ROUND((1 - _xlpm.winA) / _xlpm.winA * 100, 0)),
    _xlpm.oddsB, IF(_xlpm.winB &gt;= 0.5, "-" &amp; ROUND(_xlpm.winB / (1 - _xlpm.winB) * 100, 0), "+" &amp; ROUND((1 - _xlpm.winB) / _xlpm.winB * 100, 0)),
    _xlpm.oddsA &amp; " / " &amp; _xlpm.oddsB
)</f>
        <v/>
      </c>
    </row>
    <row r="187">
      <c r="A187" s="14" t="n">
        <v>46121</v>
      </c>
      <c r="B187" s="15" t="inlineStr">
        <is>
          <t>ATHLETICS</t>
        </is>
      </c>
      <c r="C187">
        <f>VLOOKUP(B187, 'MLB Data'!$B$5:$D$34, 3, FALSE)</f>
        <v/>
      </c>
      <c r="D187" s="16" t="inlineStr">
        <is>
          <t>SPRINGS</t>
        </is>
      </c>
      <c r="E187" s="17" t="n">
        <v>4.2475</v>
      </c>
      <c r="F187" s="17">
        <f>VLOOKUP(B187, 'MLB Data'!$F$2:$H$34, 3, FALSE)</f>
        <v/>
      </c>
      <c r="G187" s="17">
        <f>IF((E187*0.6+F187*0.4)&lt;2.5, 2.8, IF((E187*0.6+F187*0.4)&gt;5.5, 5.2, (E187*0.6+F187*0.4)))</f>
        <v/>
      </c>
      <c r="H187" s="15" t="inlineStr">
        <is>
          <t>YANKEES</t>
        </is>
      </c>
      <c r="I187">
        <f>VLOOKUP(H187, 'MLB Data'!$B$5:$D$34, 3, FALSE)</f>
        <v/>
      </c>
      <c r="J187" s="16" t="inlineStr">
        <is>
          <t>WEATHERS</t>
        </is>
      </c>
      <c r="K187" s="17" t="n">
        <v>3.7975</v>
      </c>
      <c r="L187" s="17">
        <f>VLOOKUP(H187, 'MLB Data'!$F$2:$H$34, 3, FALSE)</f>
        <v/>
      </c>
      <c r="M187" s="17">
        <f>IF((K187*0.6+L187*0.4)&lt;2.5, 2.8, IF((K187*0.6+L187*0.4)&gt;5.5, 5.2, (K187*0.6+L187*0.4)))</f>
        <v/>
      </c>
      <c r="O187" s="18">
        <f>(C187/100) * 4.1 * (M187 / 4.2) * T187</f>
        <v/>
      </c>
      <c r="P187" s="18">
        <f>(I187/100) * 4.05 * (G187 / 4.2) * T187</f>
        <v/>
      </c>
      <c r="Q187" s="18">
        <f>(O187+P187)</f>
        <v/>
      </c>
      <c r="S187" s="15">
        <f>H187</f>
        <v/>
      </c>
      <c r="T187" s="19">
        <f>IF(S187="ROCKIES",1.13,IF(S187="ATHLETICS",1.03,IF(S187="ROYALS",1.03,IF(S187="TWINS",1,IF(S187="TIGERS",1,IF(S187="MARLINS",1.01,IF(S187="REDS",1.05,IF(S187="RED SOX",1.04,IF(S187="YANKEES",1.02,IF(S187="DODGERS",0.99,IF(S187="PADRES",0.96,IF(S187="CUBS",0.98,IF(S187="GIANTS",0.97,IF(S187="MARINERS",0.94,IF(S187="RANGERS",1,IF(S187="ASTROS",0.99,IF(S187="BRAVES",1,IF(S187="METS",0.96,IF(S187="PHILLIES",1.02,IF(S187="BLUE JAYS",1.01,IF(S187="ORIOLES",0.99,IF(S187="RAYS",1.01,IF(S187="GUARDIANS",0.99,IF(S187="WHITE SOX",0.98,IF(S187="ANGELS",1.01,IF(S187="D-BACKS",1.01,IF(S187="BREWERS",0.99,IF(S187="CARDINALS",0.96,IF(S187="PIRATES",1.02,IF(S187="NATIONALS",1,1))))))))))))))))))))))))))))))*IF(W187="",1,(1+((W187-70)/10*0.035)))*IF(U187="DOME",1,IF(U187="IN",1-(V187*0.01),IF(U187="OUT",1+(V187*0.01),IF(OR(U187="L-R",U187="R-L"),1+(V187*0.005),1))))</f>
        <v/>
      </c>
      <c r="U187" s="15" t="inlineStr">
        <is>
          <t>R-L</t>
        </is>
      </c>
      <c r="V187" s="15" t="n">
        <v>9</v>
      </c>
      <c r="W187" s="15" t="n">
        <v>49</v>
      </c>
      <c r="Y187">
        <f>B187 &amp; " vs. " &amp; H187</f>
        <v/>
      </c>
      <c r="Z187">
        <f>TRIM(LEFT(Y187, FIND("vs.", Y187)-1))</f>
        <v/>
      </c>
      <c r="AA187">
        <f>TRIM(MID(Y187, FIND(" vs. ", Y187)+4, 100))</f>
        <v/>
      </c>
      <c r="AB187" s="32">
        <f>IF(Q187 &gt; VALUE(AC187), "O " &amp; AC187, IF(Q187 &lt; VALUE(AC187), "U " &amp; AC187, AC187))</f>
        <v/>
      </c>
      <c r="AC187" s="15">
        <f>IF(OR(O187="-", P187="-"), "-", MROUND(O187 + P187, 0.5))</f>
        <v/>
      </c>
      <c r="AD187" s="15">
        <f>VALUE(TRIM(RIGHT(AF187, LEN(AF187) - FIND(" ", AF187))))</f>
        <v/>
      </c>
      <c r="AE187" s="15">
        <f>LEFT(AF187,FIND(" ",AF187)-1)</f>
        <v/>
      </c>
      <c r="AF187" s="33">
        <f>IF(OR(O187="-", P187="-"), "-",
IF(MROUND(ABS(O187-P187),0.5)&lt;=0.5,
IF(O187&gt;P187, B187 &amp; " ML", H187 &amp; " ML"),
IF(MROUND(ABS(O187-P187),0.5)=1,
IF(O187&gt;P187, H187 &amp; " +1.5", B187 &amp; " +1.5"),
IF(O187&gt;P187, B187 &amp; " -1.5", H187 &amp; " -1.5")
)
)
)</f>
        <v/>
      </c>
      <c r="AG187" s="15">
        <f>_xlfn.LET(
_xlpm.winA, O187^1.83 / (O187^1.83 + P187^1.83),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88">
      <c r="A188" s="14" t="n">
        <v>46121</v>
      </c>
      <c r="B188" s="15" t="inlineStr">
        <is>
          <t>TIGERS</t>
        </is>
      </c>
      <c r="C188">
        <f>VLOOKUP(B188, 'MLB Data'!$B$5:$D$34, 3, FALSE)</f>
        <v/>
      </c>
      <c r="D188" s="16" t="inlineStr">
        <is>
          <t>FLAHERTY</t>
        </is>
      </c>
      <c r="E188" s="17" t="n">
        <v>4.0725</v>
      </c>
      <c r="F188" s="17">
        <f>VLOOKUP(B188, 'MLB Data'!$F$2:$H$34, 3, FALSE)</f>
        <v/>
      </c>
      <c r="G188" s="17">
        <f>IF((E188*0.6+F188*0.4)&lt;2.5, 2.8, IF((E188*0.6+F188*0.4)&gt;5.5, 5.2, (E188*0.6+F188*0.4)))</f>
        <v/>
      </c>
      <c r="H188" s="15" t="inlineStr">
        <is>
          <t>TWINS</t>
        </is>
      </c>
      <c r="I188">
        <f>VLOOKUP(H188, 'MLB Data'!$B$5:$D$34, 3, FALSE)</f>
        <v/>
      </c>
      <c r="J188" s="16" t="inlineStr">
        <is>
          <t>ABEL</t>
        </is>
      </c>
      <c r="K188" s="17" t="n">
        <v>4.725</v>
      </c>
      <c r="L188" s="17">
        <f>VLOOKUP(H188, 'MLB Data'!$F$2:$H$34, 3, FALSE)</f>
        <v/>
      </c>
      <c r="M188" s="17">
        <f>IF((K188*0.6+L188*0.4)&lt;2.5, 2.8, IF((K188*0.6+L188*0.4)&gt;5.5, 5.2, (K188*0.6+L188*0.4)))</f>
        <v/>
      </c>
      <c r="O188" s="18">
        <f>(C188/100) * 4.1 * (M188 / 4.2) * T188</f>
        <v/>
      </c>
      <c r="P188" s="18">
        <f>(I188/100) * 4.05 * (G188 / 4.2) * T188</f>
        <v/>
      </c>
      <c r="Q188" s="18">
        <f>(O188+P188)</f>
        <v/>
      </c>
      <c r="S188" s="15">
        <f>H188</f>
        <v/>
      </c>
      <c r="T188" s="19">
        <f>IF(S188="ROCKIES",1.13,IF(S188="ATHLETICS",1.03,IF(S188="ROYALS",1.03,IF(S188="TWINS",1,IF(S188="TIGERS",1,IF(S188="MARLINS",1.01,IF(S188="REDS",1.05,IF(S188="RED SOX",1.04,IF(S188="YANKEES",1.02,IF(S188="DODGERS",0.99,IF(S188="PADRES",0.96,IF(S188="CUBS",0.98,IF(S188="GIANTS",0.97,IF(S188="MARINERS",0.94,IF(S188="RANGERS",1,IF(S188="ASTROS",0.99,IF(S188="BRAVES",1,IF(S188="METS",0.96,IF(S188="PHILLIES",1.02,IF(S188="BLUE JAYS",1.01,IF(S188="ORIOLES",0.99,IF(S188="RAYS",1.01,IF(S188="GUARDIANS",0.99,IF(S188="WHITE SOX",0.98,IF(S188="ANGELS",1.01,IF(S188="D-BACKS",1.01,IF(S188="BREWERS",0.99,IF(S188="CARDINALS",0.96,IF(S188="PIRATES",1.02,IF(S188="NATIONALS",1,1))))))))))))))))))))))))))))))*IF(W188="",1,(1+((W188-70)/10*0.035)))*IF(U188="DOME",1,IF(U188="IN",1-(V188*0.01),IF(U188="OUT",1+(V188*0.01),IF(OR(U188="L-R",U188="R-L"),1+(V188*0.005),1))))</f>
        <v/>
      </c>
      <c r="U188" s="15" t="inlineStr">
        <is>
          <t>OUT</t>
        </is>
      </c>
      <c r="V188" s="15" t="n">
        <v>8</v>
      </c>
      <c r="W188" s="15" t="n">
        <v>45</v>
      </c>
      <c r="Y188">
        <f>B188 &amp; " vs. " &amp; H188</f>
        <v/>
      </c>
      <c r="Z188">
        <f>TRIM(LEFT(Y188, FIND("vs.", Y188)-1))</f>
        <v/>
      </c>
      <c r="AA188">
        <f>TRIM(MID(Y188, FIND(" vs. ", Y188)+4, 100))</f>
        <v/>
      </c>
      <c r="AB188" s="32">
        <f>IF(Q188 &gt; VALUE(AC188), "O " &amp; AC188, IF(Q188 &lt; VALUE(AC188), "U " &amp; AC188, AC188))</f>
        <v/>
      </c>
      <c r="AC188" s="15">
        <f>IF(OR(O188="-", P188="-"), "-", MROUND(O188 + P188, 0.5))</f>
        <v/>
      </c>
      <c r="AD188" s="15">
        <f>VALUE(TRIM(RIGHT(AF188, LEN(AF188) - FIND(" ", AF188))))</f>
        <v/>
      </c>
      <c r="AE188" s="15">
        <f>LEFT(AF188,FIND(" ",AF188)-1)</f>
        <v/>
      </c>
      <c r="AF188" s="34">
        <f>IF(OR(O188="-", P188="-"), "-",
IF(MROUND(ABS(O188-P188),0.5)&lt;=0.5,
IF(O188&gt;P188, B188 &amp; " ML", H188 &amp; " ML"),
IF(MROUND(ABS(O188-P188),0.5)=1,
IF(O188&gt;P188, H188 &amp; " +1.5", B188 &amp; " +1.5"),
IF(O188&gt;P188, B188 &amp; " -1.5", H188 &amp; " -1.5")
)
)
)</f>
        <v/>
      </c>
      <c r="AG188" s="15">
        <f>_xlfn.LET(
_xlpm.winA, O188^1.83 / (O188^1.83 + P188^1.83),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89">
      <c r="A189" s="14" t="n">
        <v>46121</v>
      </c>
      <c r="B189" s="15" t="inlineStr">
        <is>
          <t>D-BACKS</t>
        </is>
      </c>
      <c r="C189">
        <f>VLOOKUP(B189, 'MLB Data'!$B$5:$D$34, 3, FALSE)</f>
        <v/>
      </c>
      <c r="D189" s="16" t="inlineStr">
        <is>
          <t>E. RODRIGUEZ</t>
        </is>
      </c>
      <c r="E189" s="17" t="n">
        <v>3.9775</v>
      </c>
      <c r="F189" s="17">
        <f>VLOOKUP(B189, 'MLB Data'!$F$2:$H$34, 3, FALSE)</f>
        <v/>
      </c>
      <c r="G189" s="17">
        <f>IF((E189*0.6+F189*0.4)&lt;2.5, 2.8, IF((E189*0.6+F189*0.4)&gt;5.5, 5.2, (E189*0.6+F189*0.4)))</f>
        <v/>
      </c>
      <c r="H189" s="15" t="inlineStr">
        <is>
          <t>METS</t>
        </is>
      </c>
      <c r="I189">
        <f>VLOOKUP(H189, 'MLB Data'!$B$5:$D$34, 3, FALSE)</f>
        <v/>
      </c>
      <c r="J189" s="16" t="inlineStr">
        <is>
          <t>MCLEAN</t>
        </is>
      </c>
      <c r="K189" s="17" t="n">
        <v>2.9775</v>
      </c>
      <c r="L189" s="17">
        <f>VLOOKUP(H189, 'MLB Data'!$F$2:$H$34, 3, FALSE)</f>
        <v/>
      </c>
      <c r="M189" s="17">
        <f>IF((K189*0.6+L189*0.4)&lt;2.5, 2.8, IF((K189*0.6+L189*0.4)&gt;5.5, 5.2, (K189*0.6+L189*0.4)))</f>
        <v/>
      </c>
      <c r="O189" s="18">
        <f>(C189/100) * 4.1 * (M189 / 4.2) * T189</f>
        <v/>
      </c>
      <c r="P189" s="18">
        <f>(I189/100) * 4.05 * (G189 / 4.2) * T189</f>
        <v/>
      </c>
      <c r="Q189" s="18">
        <f>(O189+P189)</f>
        <v/>
      </c>
      <c r="S189" s="15">
        <f>H189</f>
        <v/>
      </c>
      <c r="T189" s="19">
        <f>IF(S189="ROCKIES",1.13,IF(S189="ATHLETICS",1.03,IF(S189="ROYALS",1.03,IF(S189="TWINS",1,IF(S189="TIGERS",1,IF(S189="MARLINS",1.01,IF(S189="REDS",1.05,IF(S189="RED SOX",1.04,IF(S189="YANKEES",1.02,IF(S189="DODGERS",0.99,IF(S189="PADRES",0.96,IF(S189="CUBS",0.98,IF(S189="GIANTS",0.97,IF(S189="MARINERS",0.94,IF(S189="RANGERS",1,IF(S189="ASTROS",0.99,IF(S189="BRAVES",1,IF(S189="METS",0.96,IF(S189="PHILLIES",1.02,IF(S189="BLUE JAYS",1.01,IF(S189="ORIOLES",0.99,IF(S189="RAYS",1.01,IF(S189="GUARDIANS",0.99,IF(S189="WHITE SOX",0.98,IF(S189="ANGELS",1.01,IF(S189="D-BACKS",1.01,IF(S189="BREWERS",0.99,IF(S189="CARDINALS",0.96,IF(S189="PIRATES",1.02,IF(S189="NATIONALS",1,1))))))))))))))))))))))))))))))*IF(W189="",1,(1+((W189-70)/10*0.035)))*IF(U189="DOME",1,IF(U189="IN",1-(V189*0.01),IF(U189="OUT",1+(V189*0.01),IF(OR(U189="L-R",U189="R-L"),1+(V189*0.005),1))))</f>
        <v/>
      </c>
      <c r="U189" s="15" t="inlineStr">
        <is>
          <t>OUT</t>
        </is>
      </c>
      <c r="V189" s="15" t="n">
        <v>11</v>
      </c>
      <c r="W189" s="15" t="n">
        <v>44</v>
      </c>
      <c r="Y189">
        <f>B189 &amp; " vs. " &amp; H189</f>
        <v/>
      </c>
      <c r="Z189">
        <f>TRIM(LEFT(Y189, FIND("vs.", Y189)-1))</f>
        <v/>
      </c>
      <c r="AA189">
        <f>TRIM(MID(Y189, FIND(" vs. ", Y189)+4, 100))</f>
        <v/>
      </c>
      <c r="AB189" s="32">
        <f>IF(Q189 &gt; VALUE(AC189), "O " &amp; AC189, IF(Q189 &lt; VALUE(AC189), "U " &amp; AC189, AC189))</f>
        <v/>
      </c>
      <c r="AC189" s="15">
        <f>IF(OR(O189="-", P189="-"), "-", MROUND(O189 + P189, 0.5))</f>
        <v/>
      </c>
      <c r="AD189" s="15">
        <f>VALUE(TRIM(RIGHT(AF189, LEN(AF189) - FIND(" ", AF189))))</f>
        <v/>
      </c>
      <c r="AE189" s="15">
        <f>LEFT(AF189,FIND(" ",AF189)-1)</f>
        <v/>
      </c>
      <c r="AF189" s="15">
        <f>IF(OR(O189="-", P189="-"), "-",
IF(MROUND(ABS(O189-P189),0.5)&lt;=0.5,
IF(O189&gt;P189, B189 &amp; " ML", H189 &amp; " ML"),
IF(MROUND(ABS(O189-P189),0.5)=1,
IF(O189&gt;P189, H189 &amp; " +1.5", B189 &amp; " +1.5"),
IF(O189&gt;P189, B189 &amp; " -1.5", H189 &amp; " -1.5")
)
)
)</f>
        <v/>
      </c>
      <c r="AG189" s="15">
        <f>_xlfn.LET(
_xlpm.winA, O189^1.83 / (O189^1.83 + P189^1.83),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90">
      <c r="A190" s="14" t="n">
        <v>46121</v>
      </c>
      <c r="B190" s="15" t="inlineStr">
        <is>
          <t>WHITE SOX</t>
        </is>
      </c>
      <c r="C190">
        <f>VLOOKUP(B190, 'MLB Data'!$B$5:$D$34, 3, FALSE)</f>
        <v/>
      </c>
      <c r="D190" s="16" t="inlineStr">
        <is>
          <t>KAY</t>
        </is>
      </c>
      <c r="E190" s="17" t="n">
        <v>5.8225</v>
      </c>
      <c r="F190" s="17">
        <f>VLOOKUP(B190, 'MLB Data'!$F$2:$H$34, 3, FALSE)</f>
        <v/>
      </c>
      <c r="G190" s="17">
        <f>IF((E190*0.6+F190*0.4)&lt;2.5, 2.8, IF((E190*0.6+F190*0.4)&gt;5.5, 5.2, (E190*0.6+F190*0.4)))</f>
        <v/>
      </c>
      <c r="H190" s="15" t="inlineStr">
        <is>
          <t>ROYALS</t>
        </is>
      </c>
      <c r="I190">
        <f>VLOOKUP(H190, 'MLB Data'!$B$5:$D$34, 3, FALSE)</f>
        <v/>
      </c>
      <c r="J190" s="16" t="inlineStr">
        <is>
          <t>LUGO</t>
        </is>
      </c>
      <c r="K190" s="17" t="n">
        <v>3.8825</v>
      </c>
      <c r="L190" s="17">
        <f>VLOOKUP(H190, 'MLB Data'!$F$2:$H$34, 3, FALSE)</f>
        <v/>
      </c>
      <c r="M190" s="17">
        <f>IF((K190*0.6+L190*0.4)&lt;2.5, 2.8, IF((K190*0.6+L190*0.4)&gt;5.5, 5.2, (K190*0.6+L190*0.4)))</f>
        <v/>
      </c>
      <c r="O190" s="18">
        <f>(C190/100) * 4.1 * (M190 / 4.2) * T190</f>
        <v/>
      </c>
      <c r="P190" s="18">
        <f>(I190/100) * 4.05 * (G190 / 4.2) * T190</f>
        <v/>
      </c>
      <c r="Q190" s="18">
        <f>(O190+P190)</f>
        <v/>
      </c>
      <c r="S190" s="15">
        <f>H190</f>
        <v/>
      </c>
      <c r="T190" s="19">
        <f>IF(S190="ROCKIES",1.13,IF(S190="ATHLETICS",1.03,IF(S190="ROYALS",1.03,IF(S190="TWINS",1,IF(S190="TIGERS",1,IF(S190="MARLINS",1.01,IF(S190="REDS",1.05,IF(S190="RED SOX",1.04,IF(S190="YANKEES",1.02,IF(S190="DODGERS",0.99,IF(S190="PADRES",0.96,IF(S190="CUBS",0.98,IF(S190="GIANTS",0.97,IF(S190="MARINERS",0.94,IF(S190="RANGERS",1,IF(S190="ASTROS",0.99,IF(S190="BRAVES",1,IF(S190="METS",0.96,IF(S190="PHILLIES",1.02,IF(S190="BLUE JAYS",1.01,IF(S190="ORIOLES",0.99,IF(S190="RAYS",1.01,IF(S190="GUARDIANS",0.99,IF(S190="WHITE SOX",0.98,IF(S190="ANGELS",1.01,IF(S190="D-BACKS",1.01,IF(S190="BREWERS",0.99,IF(S190="CARDINALS",0.96,IF(S190="PIRATES",1.02,IF(S190="NATIONALS",1,1))))))))))))))))))))))))))))))*IF(W190="",1,(1+((W190-70)/10*0.035)))*IF(U190="DOME",1,IF(U190="IN",1-(V190*0.01),IF(U190="OUT",1+(V190*0.01),IF(OR(U190="L-R",U190="R-L"),1+(V190*0.005),1))))</f>
        <v/>
      </c>
      <c r="U190" s="15" t="inlineStr">
        <is>
          <t>OUT</t>
        </is>
      </c>
      <c r="V190" s="15" t="n">
        <v>13</v>
      </c>
      <c r="W190" s="15" t="n">
        <v>75</v>
      </c>
      <c r="Y190">
        <f>B190 &amp; " vs. " &amp; H190</f>
        <v/>
      </c>
      <c r="Z190">
        <f>TRIM(LEFT(Y190, FIND("vs.", Y190)-1))</f>
        <v/>
      </c>
      <c r="AA190">
        <f>TRIM(MID(Y190, FIND(" vs. ", Y190)+4, 100))</f>
        <v/>
      </c>
      <c r="AB190" s="35">
        <f>IF(Q190 &gt; VALUE(AC190), "O " &amp; AC190, IF(Q190 &lt; VALUE(AC190), "U " &amp; AC190, AC190))</f>
        <v/>
      </c>
      <c r="AC190" s="15">
        <f>IF(OR(O190="-", P190="-"), "-", MROUND(O190 + P190, 0.5))</f>
        <v/>
      </c>
      <c r="AD190" s="15">
        <f>VALUE(TRIM(RIGHT(AF190, LEN(AF190) - FIND(" ", AF190))))</f>
        <v/>
      </c>
      <c r="AE190" s="15">
        <f>LEFT(AF190,FIND(" ",AF190)-1)</f>
        <v/>
      </c>
      <c r="AF190" s="15">
        <f>IF(OR(O190="-", P190="-"), "-",
IF(MROUND(ABS(O190-P190),0.5)&lt;=0.5,
IF(O190&gt;P190, B190 &amp; " ML", H190 &amp; " ML"),
IF(MROUND(ABS(O190-P190),0.5)=1,
IF(O190&gt;P190, H190 &amp; " +1.5", B190 &amp; " +1.5"),
IF(O190&gt;P190, B190 &amp; " -1.5", H190 &amp; " -1.5")
)
)
)</f>
        <v/>
      </c>
      <c r="AG190" s="15">
        <f>_xlfn.LET(
_xlpm.winA, O190^1.83 / (O190^1.83 + P190^1.83),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191">
      <c r="A191" s="14" t="n"/>
      <c r="D191" s="16" t="n"/>
      <c r="E191" s="17" t="n"/>
      <c r="G191" s="17" t="n"/>
      <c r="H191" s="15" t="n"/>
      <c r="K191" s="17" t="n"/>
      <c r="L191" s="17" t="n"/>
      <c r="O191" s="18" t="n"/>
      <c r="P191" s="18" t="n"/>
      <c r="Q191" s="18" t="n"/>
      <c r="S191" s="15" t="n"/>
      <c r="T191" s="19" t="n"/>
      <c r="U191" s="15" t="n"/>
      <c r="V191" s="15" t="n"/>
      <c r="W191" s="15" t="n"/>
      <c r="Y191" s="36" t="n"/>
      <c r="Z191" s="36" t="n"/>
      <c r="AA191" s="36" t="n"/>
      <c r="AB191" s="37" t="n"/>
      <c r="AC191" s="38" t="n"/>
      <c r="AD191" s="38" t="n"/>
      <c r="AE191" s="38" t="n"/>
      <c r="AF191" s="38" t="n"/>
      <c r="AG191" s="38" t="n"/>
    </row>
    <row r="192">
      <c r="A192" s="14" t="n"/>
      <c r="D192" s="16" t="n"/>
      <c r="E192" s="17" t="n"/>
      <c r="G192" s="17" t="n"/>
      <c r="H192" s="15" t="n"/>
      <c r="K192" s="17" t="n"/>
      <c r="L192" s="17" t="n"/>
      <c r="O192" s="18" t="n"/>
      <c r="P192" s="18" t="n"/>
      <c r="Q192" s="18" t="n"/>
      <c r="S192" s="15" t="n"/>
      <c r="T192" s="19" t="n"/>
      <c r="U192" s="15" t="n"/>
      <c r="V192" s="15" t="n"/>
      <c r="W192" s="15" t="n"/>
      <c r="Y192" s="36" t="n"/>
      <c r="Z192" s="36" t="n"/>
      <c r="AA192" s="36" t="n"/>
      <c r="AB192" s="35" t="n"/>
      <c r="AC192" s="38" t="n"/>
      <c r="AD192" s="38" t="n"/>
      <c r="AE192" s="38" t="n"/>
      <c r="AF192" s="38" t="n"/>
      <c r="AG192" s="15" t="n"/>
    </row>
    <row r="193">
      <c r="A193" s="14" t="n"/>
      <c r="D193" s="16" t="n"/>
      <c r="E193" s="17" t="n"/>
      <c r="G193" s="17" t="n"/>
      <c r="H193" s="15" t="n"/>
      <c r="K193" s="17" t="n"/>
      <c r="L193" s="17" t="n"/>
      <c r="O193" s="18" t="n"/>
      <c r="P193" s="18" t="n"/>
      <c r="Q193" s="18" t="n"/>
      <c r="S193" s="15" t="n"/>
      <c r="T193" s="19" t="n"/>
      <c r="U193" s="15" t="n"/>
      <c r="V193" s="15" t="n"/>
      <c r="W193" s="15" t="n"/>
      <c r="Y193" s="36" t="n"/>
      <c r="Z193" s="36" t="n"/>
      <c r="AA193" s="36" t="n"/>
      <c r="AB193" s="35" t="n"/>
      <c r="AC193" s="38" t="n"/>
      <c r="AD193" s="38" t="n"/>
      <c r="AE193" s="38" t="n"/>
      <c r="AF193" s="38" t="n"/>
      <c r="AG193" s="15" t="n"/>
    </row>
    <row r="194">
      <c r="A194" s="14" t="n"/>
      <c r="D194" s="16" t="n"/>
      <c r="E194" s="17" t="n"/>
      <c r="G194" s="17" t="n"/>
      <c r="H194" s="15" t="n"/>
      <c r="K194" s="17" t="n"/>
      <c r="L194" s="17" t="n"/>
      <c r="O194" s="18" t="n"/>
      <c r="P194" s="18" t="n"/>
      <c r="Q194" s="18" t="n"/>
      <c r="S194" s="15" t="n"/>
      <c r="T194" s="19" t="n"/>
      <c r="U194" s="15" t="n"/>
      <c r="V194" s="15" t="n"/>
      <c r="W194" s="15" t="n"/>
      <c r="Y194" s="36" t="n"/>
      <c r="Z194" s="36" t="n"/>
      <c r="AA194" s="36" t="n"/>
      <c r="AB194" s="35" t="n"/>
      <c r="AC194" s="38" t="n"/>
      <c r="AD194" s="38" t="n"/>
      <c r="AE194" s="38" t="n"/>
      <c r="AF194" s="38" t="n"/>
      <c r="AG194" s="15" t="n"/>
    </row>
    <row r="195">
      <c r="A195" s="14" t="n"/>
      <c r="D195" s="16" t="n"/>
      <c r="E195" s="17" t="n"/>
      <c r="G195" s="17" t="n"/>
      <c r="H195" s="15" t="n"/>
      <c r="K195" s="17" t="n"/>
      <c r="L195" s="17" t="n"/>
      <c r="O195" s="18" t="n"/>
      <c r="P195" s="18" t="n"/>
      <c r="Q195" s="18" t="n"/>
      <c r="S195" s="15" t="n"/>
      <c r="T195" s="19" t="n"/>
      <c r="U195" s="15" t="n"/>
      <c r="V195" s="15" t="n"/>
      <c r="W195" s="15" t="n"/>
      <c r="Y195" s="36" t="n"/>
      <c r="Z195" s="36" t="n"/>
      <c r="AA195" s="36" t="n"/>
      <c r="AB195" s="35" t="n"/>
      <c r="AC195" s="38" t="n"/>
      <c r="AD195" s="38" t="n"/>
      <c r="AE195" s="38" t="n"/>
      <c r="AF195" s="38" t="n"/>
      <c r="AG195" s="15" t="n"/>
    </row>
    <row r="196">
      <c r="A196" s="14" t="n"/>
      <c r="D196" s="16" t="n"/>
      <c r="E196" s="17" t="n"/>
      <c r="G196" s="17" t="n"/>
      <c r="H196" s="15" t="n"/>
      <c r="K196" s="17" t="n"/>
      <c r="L196" s="17" t="n"/>
      <c r="O196" s="18" t="n"/>
      <c r="P196" s="18" t="n"/>
      <c r="Q196" s="18" t="n"/>
      <c r="S196" s="15" t="n"/>
      <c r="T196" s="19" t="n"/>
      <c r="U196" s="15" t="n"/>
      <c r="V196" s="15" t="n"/>
      <c r="W196" s="15" t="n"/>
      <c r="Y196" s="36" t="n"/>
      <c r="Z196" s="36" t="n"/>
      <c r="AA196" s="36" t="n"/>
      <c r="AB196" s="35" t="n"/>
      <c r="AC196" s="38" t="n"/>
      <c r="AD196" s="38" t="n"/>
      <c r="AE196" s="38" t="n"/>
      <c r="AF196" s="38" t="n"/>
      <c r="AG196" s="15" t="n"/>
    </row>
    <row r="197">
      <c r="A197" s="14" t="n"/>
      <c r="D197" s="16" t="n"/>
      <c r="E197" s="17" t="n"/>
      <c r="G197" s="17" t="n"/>
      <c r="H197" s="15" t="n"/>
      <c r="K197" s="17" t="n"/>
      <c r="L197" s="17" t="n"/>
      <c r="O197" s="18" t="n"/>
      <c r="P197" s="18" t="n"/>
      <c r="Q197" s="18" t="n"/>
      <c r="S197" s="15" t="n"/>
      <c r="T197" s="19" t="n"/>
      <c r="U197" s="15" t="n"/>
      <c r="V197" s="15" t="n"/>
      <c r="W197" s="15" t="n"/>
      <c r="Y197" s="36" t="n"/>
      <c r="Z197" s="36" t="n"/>
      <c r="AA197" s="36" t="n"/>
      <c r="AB197" s="35" t="n"/>
      <c r="AC197" s="38" t="n"/>
      <c r="AD197" s="38" t="n"/>
      <c r="AE197" s="38" t="n"/>
      <c r="AF197" s="38" t="n"/>
      <c r="AG197" s="15" t="n"/>
    </row>
    <row r="198">
      <c r="A198" s="14" t="n"/>
      <c r="D198" s="16" t="n"/>
      <c r="E198" s="17" t="n"/>
      <c r="G198" s="17" t="n"/>
      <c r="H198" s="15" t="n"/>
      <c r="K198" s="17" t="n"/>
      <c r="L198" s="17" t="n"/>
      <c r="O198" s="18" t="n"/>
      <c r="P198" s="18" t="n"/>
      <c r="Q198" s="18" t="n"/>
      <c r="S198" s="15" t="n"/>
      <c r="T198" s="19" t="n"/>
      <c r="U198" s="15" t="n"/>
      <c r="V198" s="15" t="n"/>
      <c r="W198" s="15" t="n"/>
      <c r="Y198" s="36" t="n"/>
      <c r="Z198" s="36" t="n"/>
      <c r="AA198" s="36" t="n"/>
      <c r="AB198" s="35" t="n"/>
      <c r="AC198" s="38" t="n"/>
      <c r="AD198" s="38" t="n"/>
      <c r="AE198" s="38" t="n"/>
      <c r="AF198" s="38" t="n"/>
      <c r="AG198" s="15" t="n"/>
    </row>
    <row r="199">
      <c r="A199" s="14" t="n"/>
      <c r="D199" s="16" t="n"/>
      <c r="E199" s="17" t="n"/>
      <c r="G199" s="17" t="n"/>
      <c r="H199" s="15" t="n"/>
      <c r="K199" s="17" t="n"/>
      <c r="L199" s="17" t="n"/>
      <c r="O199" s="18" t="n"/>
      <c r="P199" s="18" t="n"/>
      <c r="Q199" s="18" t="n"/>
      <c r="S199" s="15" t="n"/>
      <c r="T199" s="19" t="n"/>
      <c r="U199" s="15" t="n"/>
      <c r="V199" s="15" t="n"/>
      <c r="W199" s="15" t="n"/>
      <c r="Y199" s="36" t="n"/>
      <c r="Z199" s="36" t="n"/>
      <c r="AA199" s="36" t="n"/>
      <c r="AB199" s="35" t="n"/>
      <c r="AC199" s="38" t="n"/>
      <c r="AD199" s="38" t="n"/>
      <c r="AE199" s="38" t="n"/>
      <c r="AF199" s="38" t="n"/>
      <c r="AG199" s="15" t="n"/>
    </row>
    <row r="200">
      <c r="A200" s="14" t="n"/>
      <c r="D200" s="16" t="n"/>
      <c r="E200" s="17" t="n"/>
      <c r="G200" s="17" t="n"/>
      <c r="H200" s="15" t="n"/>
      <c r="K200" s="17" t="n"/>
      <c r="L200" s="17" t="n"/>
      <c r="O200" s="18" t="n"/>
      <c r="P200" s="18" t="n"/>
      <c r="Q200" s="18" t="n"/>
      <c r="S200" s="15" t="n"/>
      <c r="T200" s="19" t="n"/>
      <c r="U200" s="15" t="n"/>
      <c r="V200" s="15" t="n"/>
      <c r="W200" s="15" t="n"/>
      <c r="Y200" s="36" t="n"/>
      <c r="Z200" s="36" t="n"/>
      <c r="AA200" s="36" t="n"/>
      <c r="AB200" s="35" t="n"/>
      <c r="AC200" s="38" t="n"/>
      <c r="AD200" s="38" t="n"/>
      <c r="AE200" s="38" t="n"/>
      <c r="AF200" s="38" t="n"/>
      <c r="AG200" s="15" t="n"/>
    </row>
    <row r="201">
      <c r="A201" s="14" t="n"/>
      <c r="D201" s="16" t="n"/>
      <c r="E201" s="17" t="n"/>
      <c r="G201" s="17" t="n"/>
      <c r="H201" s="15" t="n"/>
      <c r="K201" s="17" t="n"/>
      <c r="L201" s="17" t="n"/>
      <c r="O201" s="18" t="n"/>
      <c r="P201" s="18" t="n"/>
      <c r="Q201" s="18" t="n"/>
      <c r="S201" s="15" t="n"/>
      <c r="T201" s="19" t="n"/>
      <c r="U201" s="15" t="n"/>
      <c r="V201" s="15" t="n"/>
      <c r="W201" s="15" t="n"/>
      <c r="Y201" s="36" t="n"/>
      <c r="Z201" s="36" t="n"/>
      <c r="AA201" s="36" t="n"/>
      <c r="AB201" s="35" t="n"/>
      <c r="AC201" s="38" t="n"/>
      <c r="AD201" s="38" t="n"/>
      <c r="AE201" s="38" t="n"/>
      <c r="AF201" s="38" t="n"/>
      <c r="AG201" s="15" t="n"/>
    </row>
    <row r="202">
      <c r="A202" s="14" t="n"/>
      <c r="D202" s="16" t="n"/>
      <c r="E202" s="17" t="n"/>
      <c r="G202" s="17" t="n"/>
      <c r="H202" s="15" t="n"/>
      <c r="K202" s="17" t="n"/>
      <c r="L202" s="17" t="n"/>
      <c r="O202" s="18" t="n"/>
      <c r="P202" s="18" t="n"/>
      <c r="Q202" s="18" t="n"/>
      <c r="S202" s="15" t="n"/>
      <c r="T202" s="19" t="n"/>
      <c r="U202" s="15" t="n"/>
      <c r="V202" s="15" t="n"/>
      <c r="W202" s="15" t="n"/>
      <c r="Y202" s="36" t="n"/>
      <c r="Z202" s="36" t="n"/>
      <c r="AA202" s="36" t="n"/>
      <c r="AB202" s="35" t="n"/>
      <c r="AC202" s="38" t="n"/>
      <c r="AD202" s="38" t="n"/>
      <c r="AE202" s="38" t="n"/>
      <c r="AF202" s="38" t="n"/>
      <c r="AG202" s="15" t="n"/>
    </row>
    <row r="203">
      <c r="A203" s="14" t="n"/>
      <c r="D203" s="16" t="n"/>
      <c r="E203" s="17" t="n"/>
      <c r="G203" s="17" t="n"/>
      <c r="H203" s="15" t="n"/>
      <c r="K203" s="17" t="n"/>
      <c r="L203" s="17" t="n"/>
      <c r="O203" s="18" t="n"/>
      <c r="P203" s="18" t="n"/>
      <c r="Q203" s="18" t="n"/>
      <c r="S203" s="15" t="n"/>
      <c r="T203" s="19" t="n"/>
      <c r="U203" s="15" t="n"/>
      <c r="V203" s="15" t="n"/>
      <c r="W203" s="15" t="n"/>
      <c r="Y203" s="36" t="n"/>
      <c r="Z203" s="36" t="n"/>
      <c r="AA203" s="36" t="n"/>
      <c r="AB203" s="35" t="n"/>
      <c r="AC203" s="38" t="n"/>
      <c r="AD203" s="38" t="n"/>
      <c r="AE203" s="38" t="n"/>
      <c r="AF203" s="38" t="n"/>
      <c r="AG203" s="15" t="n"/>
    </row>
    <row r="204">
      <c r="A204" s="14" t="n"/>
      <c r="D204" s="16" t="n"/>
      <c r="E204" s="17" t="n"/>
      <c r="G204" s="17" t="n"/>
      <c r="H204" s="15" t="n"/>
      <c r="K204" s="17" t="n"/>
      <c r="L204" s="17" t="n"/>
      <c r="O204" s="18" t="n"/>
      <c r="P204" s="18" t="n"/>
      <c r="Q204" s="18" t="n"/>
      <c r="S204" s="15" t="n"/>
      <c r="T204" s="19" t="n"/>
      <c r="U204" s="15" t="n"/>
      <c r="V204" s="15" t="n"/>
      <c r="W204" s="15" t="n"/>
      <c r="Y204" s="36" t="n"/>
      <c r="Z204" s="36" t="n"/>
      <c r="AA204" s="36" t="n"/>
      <c r="AB204" s="35" t="n"/>
      <c r="AC204" s="38" t="n"/>
      <c r="AD204" s="38" t="n"/>
      <c r="AE204" s="38" t="n"/>
      <c r="AF204" s="38" t="n"/>
      <c r="AG204" s="15" t="n"/>
    </row>
    <row r="205">
      <c r="A205" s="14" t="n"/>
      <c r="D205" s="16" t="n"/>
      <c r="E205" s="17" t="n"/>
      <c r="G205" s="17" t="n"/>
      <c r="H205" s="15" t="n"/>
      <c r="K205" s="17" t="n"/>
      <c r="L205" s="17" t="n"/>
      <c r="O205" s="18" t="n"/>
      <c r="P205" s="18" t="n"/>
      <c r="Q205" s="18" t="n"/>
      <c r="S205" s="15" t="n"/>
      <c r="T205" s="19" t="n"/>
      <c r="U205" s="15" t="n"/>
      <c r="V205" s="15" t="n"/>
      <c r="W205" s="15" t="n"/>
      <c r="Y205" s="36" t="n"/>
      <c r="Z205" s="36" t="n"/>
      <c r="AA205" s="36" t="n"/>
      <c r="AB205" s="35" t="n"/>
      <c r="AC205" s="38" t="n"/>
      <c r="AD205" s="38" t="n"/>
      <c r="AE205" s="38" t="n"/>
      <c r="AF205" s="38" t="n"/>
      <c r="AG205" s="15" t="n"/>
    </row>
    <row r="206">
      <c r="A206" s="14" t="n"/>
      <c r="D206" s="16" t="n"/>
      <c r="E206" s="17" t="n"/>
      <c r="G206" s="17" t="n"/>
      <c r="H206" s="15" t="n"/>
      <c r="K206" s="17" t="n"/>
      <c r="L206" s="17" t="n"/>
      <c r="O206" s="18" t="n"/>
      <c r="P206" s="18" t="n"/>
      <c r="Q206" s="18" t="n"/>
      <c r="S206" s="15" t="n"/>
      <c r="T206" s="19" t="n"/>
      <c r="U206" s="15" t="n"/>
      <c r="V206" s="15" t="n"/>
      <c r="W206" s="15" t="n"/>
      <c r="Y206" s="36" t="n"/>
      <c r="Z206" s="36" t="n"/>
      <c r="AA206" s="36" t="n"/>
      <c r="AB206" s="35" t="n"/>
      <c r="AC206" s="38" t="n"/>
      <c r="AD206" s="38" t="n"/>
      <c r="AE206" s="38" t="n"/>
      <c r="AF206" s="38" t="n"/>
      <c r="AG206" s="15" t="n"/>
    </row>
    <row r="207">
      <c r="A207" s="14" t="n"/>
      <c r="D207" s="16" t="n"/>
      <c r="E207" s="17" t="n"/>
      <c r="G207" s="17" t="n"/>
      <c r="H207" s="15" t="n"/>
      <c r="K207" s="17" t="n"/>
      <c r="L207" s="17" t="n"/>
      <c r="O207" s="18" t="n"/>
      <c r="P207" s="18" t="n"/>
      <c r="Q207" s="18" t="n"/>
      <c r="S207" s="15" t="n"/>
      <c r="T207" s="19" t="n"/>
      <c r="U207" s="15" t="n"/>
      <c r="V207" s="15" t="n"/>
      <c r="W207" s="15" t="n"/>
      <c r="Y207" s="36" t="n"/>
      <c r="Z207" s="36" t="n"/>
      <c r="AA207" s="36" t="n"/>
      <c r="AB207" s="35" t="n"/>
      <c r="AC207" s="38" t="n"/>
      <c r="AD207" s="38" t="n"/>
      <c r="AE207" s="38" t="n"/>
      <c r="AF207" s="38" t="n"/>
      <c r="AG207" s="15" t="n"/>
    </row>
    <row r="208">
      <c r="A208" s="14" t="n"/>
      <c r="D208" s="16" t="n"/>
      <c r="E208" s="17" t="n"/>
      <c r="G208" s="17" t="n"/>
      <c r="H208" s="15" t="n"/>
      <c r="K208" s="17" t="n"/>
      <c r="L208" s="17" t="n"/>
      <c r="O208" s="18" t="n"/>
      <c r="P208" s="18" t="n"/>
      <c r="Q208" s="18" t="n"/>
      <c r="S208" s="15" t="n"/>
      <c r="T208" s="19" t="n"/>
      <c r="U208" s="15" t="n"/>
      <c r="V208" s="15" t="n"/>
      <c r="W208" s="15" t="n"/>
      <c r="Y208" s="36" t="n"/>
      <c r="Z208" s="36" t="n"/>
      <c r="AA208" s="36" t="n"/>
      <c r="AB208" s="35" t="n"/>
      <c r="AC208" s="38" t="n"/>
      <c r="AD208" s="38" t="n"/>
      <c r="AE208" s="38" t="n"/>
      <c r="AF208" s="38" t="n"/>
      <c r="AG208" s="15" t="n"/>
    </row>
    <row r="209">
      <c r="A209" s="14" t="n"/>
      <c r="D209" s="16" t="n"/>
      <c r="E209" s="17" t="n"/>
      <c r="G209" s="17" t="n"/>
      <c r="H209" s="15" t="n"/>
      <c r="K209" s="17" t="n"/>
      <c r="L209" s="17" t="n"/>
      <c r="O209" s="18" t="n"/>
      <c r="P209" s="18" t="n"/>
      <c r="Q209" s="18" t="n"/>
      <c r="S209" s="15" t="n"/>
      <c r="T209" s="19" t="n"/>
      <c r="U209" s="15" t="n"/>
      <c r="V209" s="15" t="n"/>
      <c r="W209" s="15" t="n"/>
      <c r="Y209" s="36" t="n"/>
      <c r="Z209" s="36" t="n"/>
      <c r="AA209" s="36" t="n"/>
      <c r="AB209" s="35" t="n"/>
      <c r="AC209" s="38" t="n"/>
      <c r="AD209" s="38" t="n"/>
      <c r="AE209" s="38" t="n"/>
      <c r="AF209" s="38" t="n"/>
      <c r="AG209" s="15" t="n"/>
    </row>
    <row r="210">
      <c r="A210" s="14" t="n"/>
      <c r="D210" s="16" t="n"/>
      <c r="E210" s="17" t="n"/>
      <c r="G210" s="17" t="n"/>
      <c r="H210" s="15" t="n"/>
      <c r="K210" s="17" t="n"/>
      <c r="L210" s="17" t="n"/>
      <c r="O210" s="18" t="n"/>
      <c r="P210" s="18" t="n"/>
      <c r="Q210" s="18" t="n"/>
      <c r="S210" s="15" t="n"/>
      <c r="T210" s="19" t="n"/>
      <c r="U210" s="15" t="n"/>
      <c r="V210" s="15" t="n"/>
      <c r="W210" s="15" t="n"/>
      <c r="Y210" s="36" t="n"/>
      <c r="Z210" s="36" t="n"/>
      <c r="AA210" s="36" t="n"/>
      <c r="AB210" s="35" t="n"/>
      <c r="AC210" s="38" t="n"/>
      <c r="AD210" s="38" t="n"/>
      <c r="AE210" s="38" t="n"/>
      <c r="AF210" s="38" t="n"/>
      <c r="AG210" s="15" t="n"/>
    </row>
    <row r="211">
      <c r="A211" s="14" t="n"/>
      <c r="D211" s="16" t="n"/>
      <c r="E211" s="17" t="n"/>
      <c r="G211" s="17" t="n"/>
      <c r="H211" s="15" t="n"/>
      <c r="K211" s="17" t="n"/>
      <c r="L211" s="17" t="n"/>
      <c r="O211" s="18" t="n"/>
      <c r="P211" s="18" t="n"/>
      <c r="Q211" s="18" t="n"/>
      <c r="S211" s="15" t="n"/>
      <c r="T211" s="19" t="n"/>
      <c r="U211" s="15" t="n"/>
      <c r="V211" s="15" t="n"/>
      <c r="W211" s="15" t="n"/>
      <c r="Y211" s="36" t="n"/>
      <c r="Z211" s="36" t="n"/>
      <c r="AA211" s="36" t="n"/>
      <c r="AB211" s="35" t="n"/>
      <c r="AC211" s="38" t="n"/>
      <c r="AD211" s="38" t="n"/>
      <c r="AE211" s="38" t="n"/>
      <c r="AF211" s="38" t="n"/>
      <c r="AG211" s="15" t="n"/>
    </row>
    <row r="212">
      <c r="A212" s="14" t="n"/>
      <c r="D212" s="16" t="n"/>
      <c r="E212" s="17" t="n"/>
      <c r="G212" s="17" t="n"/>
      <c r="H212" s="15" t="n"/>
      <c r="K212" s="17" t="n"/>
      <c r="L212" s="17" t="n"/>
      <c r="O212" s="18" t="n"/>
      <c r="P212" s="18" t="n"/>
      <c r="Q212" s="18" t="n"/>
      <c r="S212" s="15" t="n"/>
      <c r="T212" s="19" t="n"/>
      <c r="U212" s="15" t="n"/>
      <c r="V212" s="15" t="n"/>
      <c r="W212" s="15" t="n"/>
      <c r="Y212" s="36" t="n"/>
      <c r="Z212" s="36" t="n"/>
      <c r="AA212" s="36" t="n"/>
      <c r="AB212" s="35" t="n"/>
      <c r="AC212" s="38" t="n"/>
      <c r="AD212" s="38" t="n"/>
      <c r="AE212" s="38" t="n"/>
      <c r="AF212" s="38" t="n"/>
      <c r="AG212" s="15" t="n"/>
    </row>
    <row r="213">
      <c r="A213" s="14" t="n"/>
      <c r="D213" s="16" t="n"/>
      <c r="E213" s="17" t="n"/>
      <c r="G213" s="17" t="n"/>
      <c r="H213" s="15" t="n"/>
      <c r="K213" s="17" t="n"/>
      <c r="L213" s="17" t="n"/>
      <c r="O213" s="18" t="n"/>
      <c r="P213" s="18" t="n"/>
      <c r="Q213" s="18" t="n"/>
      <c r="S213" s="15" t="n"/>
      <c r="T213" s="19" t="n"/>
      <c r="U213" s="15" t="n"/>
      <c r="V213" s="15" t="n"/>
      <c r="W213" s="15" t="n"/>
      <c r="Y213" s="36" t="n"/>
      <c r="Z213" s="36" t="n"/>
      <c r="AA213" s="36" t="n"/>
      <c r="AB213" s="35" t="n"/>
      <c r="AC213" s="38" t="n"/>
      <c r="AD213" s="38" t="n"/>
      <c r="AE213" s="38" t="n"/>
      <c r="AF213" s="38" t="n"/>
      <c r="AG213" s="15" t="n"/>
    </row>
    <row r="214">
      <c r="A214" s="14" t="n"/>
      <c r="D214" s="16" t="n"/>
      <c r="E214" s="17" t="n"/>
      <c r="G214" s="17" t="n"/>
      <c r="H214" s="15" t="n"/>
      <c r="K214" s="17" t="n"/>
      <c r="L214" s="17" t="n"/>
      <c r="O214" s="18" t="n"/>
      <c r="P214" s="18" t="n"/>
      <c r="Q214" s="18" t="n"/>
      <c r="S214" s="15" t="n"/>
      <c r="T214" s="19" t="n"/>
      <c r="U214" s="15" t="n"/>
      <c r="V214" s="15" t="n"/>
      <c r="W214" s="15" t="n"/>
      <c r="Y214" s="36" t="n"/>
      <c r="Z214" s="36" t="n"/>
      <c r="AA214" s="36" t="n"/>
      <c r="AB214" s="35" t="n"/>
      <c r="AC214" s="38" t="n"/>
      <c r="AD214" s="38" t="n"/>
      <c r="AE214" s="38" t="n"/>
      <c r="AF214" s="38" t="n"/>
      <c r="AG214" s="15" t="n"/>
    </row>
    <row r="215">
      <c r="A215" s="14" t="n"/>
      <c r="D215" s="16" t="n"/>
      <c r="E215" s="17" t="n"/>
      <c r="G215" s="17" t="n"/>
      <c r="H215" s="15" t="n"/>
      <c r="K215" s="17" t="n"/>
      <c r="L215" s="17" t="n"/>
      <c r="O215" s="18" t="n"/>
      <c r="P215" s="18" t="n"/>
      <c r="Q215" s="18" t="n"/>
      <c r="S215" s="15" t="n"/>
      <c r="T215" s="19" t="n"/>
      <c r="U215" s="15" t="n"/>
      <c r="V215" s="15" t="n"/>
      <c r="W215" s="15" t="n"/>
      <c r="Y215" s="36" t="n"/>
      <c r="Z215" s="36" t="n"/>
      <c r="AA215" s="36" t="n"/>
      <c r="AB215" s="35" t="n"/>
      <c r="AC215" s="38" t="n"/>
      <c r="AD215" s="38" t="n"/>
      <c r="AE215" s="38" t="n"/>
      <c r="AF215" s="38" t="n"/>
      <c r="AG215" s="15" t="n"/>
    </row>
    <row r="216">
      <c r="A216" s="14" t="n"/>
      <c r="D216" s="16" t="n"/>
      <c r="E216" s="17" t="n"/>
      <c r="G216" s="17" t="n"/>
      <c r="H216" s="15" t="n"/>
      <c r="K216" s="17" t="n"/>
      <c r="L216" s="17" t="n"/>
      <c r="O216" s="18" t="n"/>
      <c r="P216" s="18" t="n"/>
      <c r="Q216" s="18" t="n"/>
      <c r="S216" s="15" t="n"/>
      <c r="T216" s="19" t="n"/>
      <c r="U216" s="15" t="n"/>
      <c r="V216" s="15" t="n"/>
      <c r="W216" s="15" t="n"/>
      <c r="Y216" s="36" t="n"/>
      <c r="Z216" s="36" t="n"/>
      <c r="AA216" s="36" t="n"/>
      <c r="AB216" s="35" t="n"/>
      <c r="AC216" s="38" t="n"/>
      <c r="AD216" s="38" t="n"/>
      <c r="AE216" s="38" t="n"/>
      <c r="AF216" s="38" t="n"/>
      <c r="AG216" s="15" t="n"/>
    </row>
    <row r="217">
      <c r="A217" s="14" t="n"/>
      <c r="D217" s="16" t="n"/>
      <c r="E217" s="17" t="n"/>
      <c r="G217" s="17" t="n"/>
      <c r="H217" s="15" t="n"/>
      <c r="K217" s="17" t="n"/>
      <c r="L217" s="17" t="n"/>
      <c r="O217" s="18" t="n"/>
      <c r="P217" s="18" t="n"/>
      <c r="Q217" s="18" t="n"/>
      <c r="S217" s="15" t="n"/>
      <c r="T217" s="19" t="n"/>
      <c r="U217" s="15" t="n"/>
      <c r="V217" s="15" t="n"/>
      <c r="W217" s="15" t="n"/>
      <c r="Y217" s="36" t="n"/>
      <c r="Z217" s="36" t="n"/>
      <c r="AA217" s="36" t="n"/>
      <c r="AB217" s="35" t="n"/>
      <c r="AC217" s="38" t="n"/>
      <c r="AD217" s="38" t="n"/>
      <c r="AE217" s="38" t="n"/>
      <c r="AF217" s="38" t="n"/>
      <c r="AG217" s="15" t="n"/>
    </row>
    <row r="218">
      <c r="A218" s="14" t="n"/>
      <c r="D218" s="16" t="n"/>
      <c r="E218" s="17" t="n"/>
      <c r="G218" s="17" t="n"/>
      <c r="H218" s="15" t="n"/>
      <c r="K218" s="17" t="n"/>
      <c r="L218" s="17" t="n"/>
      <c r="O218" s="18" t="n"/>
      <c r="P218" s="18" t="n"/>
      <c r="Q218" s="18" t="n"/>
      <c r="S218" s="15" t="n"/>
      <c r="T218" s="19" t="n"/>
      <c r="U218" s="15" t="n"/>
      <c r="V218" s="15" t="n"/>
      <c r="W218" s="15" t="n"/>
      <c r="Y218" s="36" t="n"/>
      <c r="Z218" s="36" t="n"/>
      <c r="AA218" s="36" t="n"/>
      <c r="AB218" s="35" t="n"/>
      <c r="AC218" s="38" t="n"/>
      <c r="AD218" s="38" t="n"/>
      <c r="AE218" s="38" t="n"/>
      <c r="AF218" s="38" t="n"/>
      <c r="AG218" s="15" t="n"/>
    </row>
    <row r="219">
      <c r="A219" s="14" t="n"/>
      <c r="D219" s="16" t="n"/>
      <c r="E219" s="17" t="n"/>
      <c r="G219" s="17" t="n"/>
      <c r="H219" s="15" t="n"/>
      <c r="K219" s="17" t="n"/>
      <c r="L219" s="17" t="n"/>
      <c r="O219" s="18" t="n"/>
      <c r="P219" s="18" t="n"/>
      <c r="Q219" s="18" t="n"/>
      <c r="S219" s="15" t="n"/>
      <c r="T219" s="19" t="n"/>
      <c r="U219" s="15" t="n"/>
      <c r="V219" s="15" t="n"/>
      <c r="W219" s="15" t="n"/>
      <c r="Y219" s="36" t="n"/>
      <c r="Z219" s="36" t="n"/>
      <c r="AA219" s="36" t="n"/>
      <c r="AB219" s="35" t="n"/>
      <c r="AC219" s="38" t="n"/>
      <c r="AD219" s="38" t="n"/>
      <c r="AE219" s="38" t="n"/>
      <c r="AF219" s="38" t="n"/>
      <c r="AG219" s="15" t="n"/>
    </row>
    <row r="220">
      <c r="A220" s="14" t="n"/>
      <c r="D220" s="16" t="n"/>
      <c r="E220" s="17" t="n"/>
      <c r="G220" s="17" t="n"/>
      <c r="H220" s="15" t="n"/>
      <c r="K220" s="17" t="n"/>
      <c r="L220" s="17" t="n"/>
      <c r="O220" s="18" t="n"/>
      <c r="P220" s="18" t="n"/>
      <c r="Q220" s="18" t="n"/>
      <c r="S220" s="15" t="n"/>
      <c r="T220" s="19" t="n"/>
      <c r="U220" s="15" t="n"/>
      <c r="V220" s="15" t="n"/>
      <c r="W220" s="15" t="n"/>
      <c r="Y220" s="36" t="n"/>
      <c r="Z220" s="36" t="n"/>
      <c r="AA220" s="36" t="n"/>
      <c r="AB220" s="35" t="n"/>
      <c r="AC220" s="38" t="n"/>
      <c r="AD220" s="38" t="n"/>
      <c r="AE220" s="38" t="n"/>
      <c r="AF220" s="38" t="n"/>
      <c r="AG220" s="15" t="n"/>
    </row>
    <row r="221">
      <c r="A221" s="14" t="n"/>
      <c r="D221" s="16" t="n"/>
      <c r="E221" s="17" t="n"/>
      <c r="G221" s="17" t="n"/>
      <c r="H221" s="15" t="n"/>
      <c r="K221" s="17" t="n"/>
      <c r="L221" s="17" t="n"/>
      <c r="O221" s="18" t="n"/>
      <c r="P221" s="18" t="n"/>
      <c r="Q221" s="18" t="n"/>
      <c r="S221" s="15" t="n"/>
      <c r="T221" s="19" t="n"/>
      <c r="U221" s="15" t="n"/>
      <c r="V221" s="15" t="n"/>
      <c r="W221" s="15" t="n"/>
      <c r="Y221" s="36" t="n"/>
      <c r="Z221" s="36" t="n"/>
      <c r="AA221" s="36" t="n"/>
      <c r="AB221" s="35" t="n"/>
      <c r="AC221" s="38" t="n"/>
      <c r="AD221" s="38" t="n"/>
      <c r="AE221" s="38" t="n"/>
      <c r="AF221" s="38" t="n"/>
      <c r="AG221" s="15" t="n"/>
    </row>
    <row r="222">
      <c r="A222" s="14" t="n"/>
      <c r="D222" s="16" t="n"/>
      <c r="E222" s="17" t="n"/>
      <c r="G222" s="17" t="n"/>
      <c r="H222" s="15" t="n"/>
      <c r="K222" s="17" t="n"/>
      <c r="L222" s="17" t="n"/>
      <c r="O222" s="18" t="n"/>
      <c r="P222" s="18" t="n"/>
      <c r="Q222" s="18" t="n"/>
      <c r="S222" s="15" t="n"/>
      <c r="T222" s="19" t="n"/>
      <c r="U222" s="15" t="n"/>
      <c r="V222" s="15" t="n"/>
      <c r="W222" s="15" t="n"/>
      <c r="Y222" s="36" t="n"/>
      <c r="Z222" s="36" t="n"/>
      <c r="AA222" s="36" t="n"/>
      <c r="AB222" s="35" t="n"/>
      <c r="AC222" s="38" t="n"/>
      <c r="AD222" s="38" t="n"/>
      <c r="AE222" s="38" t="n"/>
      <c r="AF222" s="38" t="n"/>
      <c r="AG222" s="15" t="n"/>
    </row>
    <row r="223">
      <c r="A223" s="14" t="n"/>
      <c r="D223" s="16" t="n"/>
      <c r="E223" s="17" t="n"/>
      <c r="G223" s="17" t="n"/>
      <c r="H223" s="15" t="n"/>
      <c r="K223" s="17" t="n"/>
      <c r="L223" s="17" t="n"/>
      <c r="O223" s="18" t="n"/>
      <c r="P223" s="18" t="n"/>
      <c r="Q223" s="18" t="n"/>
      <c r="S223" s="15" t="n"/>
      <c r="T223" s="19" t="n"/>
      <c r="U223" s="15" t="n"/>
      <c r="V223" s="15" t="n"/>
      <c r="W223" s="15" t="n"/>
      <c r="Y223" s="36" t="n"/>
      <c r="Z223" s="36" t="n"/>
      <c r="AA223" s="36" t="n"/>
      <c r="AB223" s="35" t="n"/>
      <c r="AC223" s="38" t="n"/>
      <c r="AD223" s="38" t="n"/>
      <c r="AE223" s="38" t="n"/>
      <c r="AF223" s="38" t="n"/>
      <c r="AG223" s="15" t="n"/>
    </row>
    <row r="224">
      <c r="A224" s="14" t="n"/>
      <c r="D224" s="16" t="n"/>
      <c r="E224" s="17" t="n"/>
      <c r="G224" s="17" t="n"/>
      <c r="H224" s="15" t="n"/>
      <c r="K224" s="17" t="n"/>
      <c r="L224" s="17" t="n"/>
      <c r="O224" s="18" t="n"/>
      <c r="P224" s="18" t="n"/>
      <c r="Q224" s="18" t="n"/>
      <c r="S224" s="15" t="n"/>
      <c r="T224" s="19" t="n"/>
      <c r="U224" s="15" t="n"/>
      <c r="V224" s="15" t="n"/>
      <c r="W224" s="15" t="n"/>
      <c r="Y224" s="36" t="n"/>
      <c r="Z224" s="36" t="n"/>
      <c r="AA224" s="36" t="n"/>
      <c r="AB224" s="35" t="n"/>
      <c r="AC224" s="38" t="n"/>
      <c r="AD224" s="38" t="n"/>
      <c r="AE224" s="38" t="n"/>
      <c r="AF224" s="38" t="n"/>
      <c r="AG224" s="15" t="n"/>
    </row>
    <row r="225">
      <c r="A225" s="14" t="n"/>
      <c r="D225" s="16" t="n"/>
      <c r="E225" s="17" t="n"/>
      <c r="G225" s="17" t="n"/>
      <c r="H225" s="15" t="n"/>
      <c r="K225" s="17" t="n"/>
      <c r="L225" s="17" t="n"/>
      <c r="O225" s="18" t="n"/>
      <c r="P225" s="18" t="n"/>
      <c r="Q225" s="18" t="n"/>
      <c r="S225" s="15" t="n"/>
      <c r="T225" s="19" t="n"/>
      <c r="U225" s="15" t="n"/>
      <c r="V225" s="15" t="n"/>
      <c r="W225" s="15" t="n"/>
      <c r="Y225" s="36" t="n"/>
      <c r="Z225" s="36" t="n"/>
      <c r="AA225" s="36" t="n"/>
      <c r="AB225" s="35" t="n"/>
      <c r="AC225" s="38" t="n"/>
      <c r="AD225" s="38" t="n"/>
      <c r="AE225" s="38" t="n"/>
      <c r="AF225" s="38" t="n"/>
      <c r="AG225" s="15" t="n"/>
    </row>
    <row r="226">
      <c r="A226" s="14" t="n"/>
      <c r="D226" s="16" t="n"/>
      <c r="E226" s="17" t="n"/>
      <c r="G226" s="17" t="n"/>
      <c r="H226" s="15" t="n"/>
      <c r="K226" s="17" t="n"/>
      <c r="L226" s="17" t="n"/>
      <c r="O226" s="18" t="n"/>
      <c r="P226" s="18" t="n"/>
      <c r="Q226" s="18" t="n"/>
      <c r="S226" s="15" t="n"/>
      <c r="T226" s="19" t="n"/>
      <c r="U226" s="15" t="n"/>
      <c r="V226" s="15" t="n"/>
      <c r="W226" s="15" t="n"/>
      <c r="Y226" s="36" t="n"/>
      <c r="Z226" s="36" t="n"/>
      <c r="AA226" s="36" t="n"/>
      <c r="AB226" s="35" t="n"/>
      <c r="AC226" s="38" t="n"/>
      <c r="AD226" s="38" t="n"/>
      <c r="AE226" s="38" t="n"/>
      <c r="AF226" s="38" t="n"/>
      <c r="AG226" s="15" t="n"/>
    </row>
    <row r="227">
      <c r="A227" s="14" t="n"/>
      <c r="D227" s="16" t="n"/>
      <c r="E227" s="17" t="n"/>
      <c r="G227" s="17" t="n"/>
      <c r="H227" s="15" t="n"/>
      <c r="K227" s="17" t="n"/>
      <c r="L227" s="17" t="n"/>
      <c r="O227" s="18" t="n"/>
      <c r="P227" s="18" t="n"/>
      <c r="Q227" s="18" t="n"/>
      <c r="S227" s="15" t="n"/>
      <c r="T227" s="19" t="n"/>
      <c r="U227" s="15" t="n"/>
      <c r="V227" s="15" t="n"/>
      <c r="W227" s="15" t="n"/>
      <c r="Y227" s="36" t="n"/>
      <c r="Z227" s="36" t="n"/>
      <c r="AA227" s="36" t="n"/>
      <c r="AB227" s="35" t="n"/>
      <c r="AC227" s="38" t="n"/>
      <c r="AD227" s="38" t="n"/>
      <c r="AE227" s="38" t="n"/>
      <c r="AF227" s="38" t="n"/>
      <c r="AG227" s="15" t="n"/>
    </row>
    <row r="228">
      <c r="A228" s="14" t="n"/>
      <c r="D228" s="16" t="n"/>
      <c r="E228" s="17" t="n"/>
      <c r="G228" s="17" t="n"/>
      <c r="H228" s="15" t="n"/>
      <c r="K228" s="17" t="n"/>
      <c r="L228" s="17" t="n"/>
      <c r="O228" s="18" t="n"/>
      <c r="P228" s="18" t="n"/>
      <c r="Q228" s="18" t="n"/>
      <c r="S228" s="15" t="n"/>
      <c r="T228" s="19" t="n"/>
      <c r="U228" s="15" t="n"/>
      <c r="V228" s="15" t="n"/>
      <c r="W228" s="15" t="n"/>
      <c r="Y228" s="36" t="n"/>
      <c r="Z228" s="36" t="n"/>
      <c r="AA228" s="36" t="n"/>
      <c r="AB228" s="35" t="n"/>
      <c r="AC228" s="38" t="n"/>
      <c r="AD228" s="38" t="n"/>
      <c r="AE228" s="38" t="n"/>
      <c r="AF228" s="38" t="n"/>
      <c r="AG228" s="15" t="n"/>
    </row>
    <row r="229">
      <c r="A229" s="14" t="n"/>
      <c r="D229" s="16" t="n"/>
      <c r="E229" s="17" t="n"/>
      <c r="G229" s="17" t="n"/>
      <c r="H229" s="15" t="n"/>
      <c r="K229" s="17" t="n"/>
      <c r="L229" s="17" t="n"/>
      <c r="O229" s="18" t="n"/>
      <c r="P229" s="18" t="n"/>
      <c r="Q229" s="18" t="n"/>
      <c r="S229" s="15" t="n"/>
      <c r="T229" s="19" t="n"/>
      <c r="U229" s="15" t="n"/>
      <c r="V229" s="15" t="n"/>
      <c r="W229" s="15" t="n"/>
      <c r="Y229" s="36" t="n"/>
      <c r="Z229" s="36" t="n"/>
      <c r="AA229" s="36" t="n"/>
      <c r="AB229" s="35" t="n"/>
      <c r="AC229" s="38" t="n"/>
      <c r="AD229" s="38" t="n"/>
      <c r="AE229" s="38" t="n"/>
      <c r="AF229" s="38" t="n"/>
      <c r="AG229" s="15" t="n"/>
    </row>
    <row r="230">
      <c r="A230" s="14" t="n"/>
      <c r="D230" s="16" t="n"/>
      <c r="E230" s="17" t="n"/>
      <c r="G230" s="17" t="n"/>
      <c r="H230" s="15" t="n"/>
      <c r="K230" s="17" t="n"/>
      <c r="L230" s="17" t="n"/>
      <c r="O230" s="18" t="n"/>
      <c r="P230" s="18" t="n"/>
      <c r="Q230" s="18" t="n"/>
      <c r="S230" s="15" t="n"/>
      <c r="T230" s="19" t="n"/>
      <c r="U230" s="15" t="n"/>
      <c r="V230" s="15" t="n"/>
      <c r="W230" s="15" t="n"/>
      <c r="Y230" s="36" t="n"/>
      <c r="Z230" s="36" t="n"/>
      <c r="AA230" s="36" t="n"/>
      <c r="AB230" s="35" t="n"/>
      <c r="AC230" s="38" t="n"/>
      <c r="AD230" s="38" t="n"/>
      <c r="AE230" s="38" t="n"/>
      <c r="AF230" s="38" t="n"/>
      <c r="AG230" s="15" t="n"/>
    </row>
    <row r="231">
      <c r="A231" s="14" t="n"/>
      <c r="D231" s="16" t="n"/>
      <c r="E231" s="17" t="n"/>
      <c r="G231" s="17" t="n"/>
      <c r="H231" s="15" t="n"/>
      <c r="K231" s="17" t="n"/>
      <c r="L231" s="17" t="n"/>
      <c r="O231" s="18" t="n"/>
      <c r="P231" s="18" t="n"/>
      <c r="Q231" s="18" t="n"/>
      <c r="S231" s="15" t="n"/>
      <c r="T231" s="19" t="n"/>
      <c r="U231" s="15" t="n"/>
      <c r="V231" s="15" t="n"/>
      <c r="W231" s="15" t="n"/>
      <c r="Y231" s="36" t="n"/>
      <c r="Z231" s="36" t="n"/>
      <c r="AA231" s="36" t="n"/>
      <c r="AB231" s="35" t="n"/>
      <c r="AC231" s="38" t="n"/>
      <c r="AD231" s="38" t="n"/>
      <c r="AE231" s="38" t="n"/>
      <c r="AF231" s="38" t="n"/>
      <c r="AG231" s="15" t="n"/>
    </row>
    <row r="232">
      <c r="A232" s="14" t="n"/>
      <c r="D232" s="16" t="n"/>
      <c r="E232" s="17" t="n"/>
      <c r="G232" s="17" t="n"/>
      <c r="H232" s="15" t="n"/>
      <c r="K232" s="17" t="n"/>
      <c r="L232" s="17" t="n"/>
      <c r="O232" s="18" t="n"/>
      <c r="P232" s="18" t="n"/>
      <c r="Q232" s="18" t="n"/>
      <c r="S232" s="15" t="n"/>
      <c r="T232" s="19" t="n"/>
      <c r="U232" s="15" t="n"/>
      <c r="V232" s="15" t="n"/>
      <c r="W232" s="15" t="n"/>
      <c r="Y232" s="36" t="n"/>
      <c r="Z232" s="36" t="n"/>
      <c r="AA232" s="36" t="n"/>
      <c r="AB232" s="35" t="n"/>
      <c r="AC232" s="38" t="n"/>
      <c r="AD232" s="38" t="n"/>
      <c r="AE232" s="38" t="n"/>
      <c r="AF232" s="38" t="n"/>
      <c r="AG232" s="15" t="n"/>
    </row>
    <row r="233">
      <c r="A233" s="14" t="n"/>
      <c r="D233" s="16" t="n"/>
      <c r="E233" s="17" t="n"/>
      <c r="G233" s="17" t="n"/>
      <c r="H233" s="15" t="n"/>
      <c r="K233" s="17" t="n"/>
      <c r="L233" s="17" t="n"/>
      <c r="O233" s="18" t="n"/>
      <c r="P233" s="18" t="n"/>
      <c r="Q233" s="18" t="n"/>
      <c r="S233" s="15" t="n"/>
      <c r="T233" s="19" t="n"/>
      <c r="U233" s="15" t="n"/>
      <c r="V233" s="15" t="n"/>
      <c r="W233" s="15" t="n"/>
      <c r="Y233" s="36" t="n"/>
      <c r="Z233" s="36" t="n"/>
      <c r="AA233" s="36" t="n"/>
      <c r="AB233" s="35" t="n"/>
      <c r="AC233" s="38" t="n"/>
      <c r="AD233" s="38" t="n"/>
      <c r="AE233" s="38" t="n"/>
      <c r="AF233" s="38" t="n"/>
      <c r="AG233" s="15" t="n"/>
    </row>
    <row r="234">
      <c r="A234" s="14" t="n"/>
      <c r="D234" s="16" t="n"/>
      <c r="E234" s="17" t="n"/>
      <c r="G234" s="17" t="n"/>
      <c r="H234" s="15" t="n"/>
      <c r="K234" s="17" t="n"/>
      <c r="L234" s="17" t="n"/>
      <c r="O234" s="18" t="n"/>
      <c r="P234" s="18" t="n"/>
      <c r="Q234" s="18" t="n"/>
      <c r="S234" s="15" t="n"/>
      <c r="T234" s="19" t="n"/>
      <c r="U234" s="15" t="n"/>
      <c r="V234" s="15" t="n"/>
      <c r="W234" s="15" t="n"/>
      <c r="Y234" s="36" t="n"/>
      <c r="Z234" s="36" t="n"/>
      <c r="AA234" s="36" t="n"/>
      <c r="AB234" s="35" t="n"/>
      <c r="AC234" s="38" t="n"/>
      <c r="AD234" s="38" t="n"/>
      <c r="AE234" s="38" t="n"/>
      <c r="AF234" s="38" t="n"/>
      <c r="AG234" s="15" t="n"/>
    </row>
    <row r="235">
      <c r="A235" s="14" t="n"/>
      <c r="D235" s="16" t="n"/>
      <c r="E235" s="17" t="n"/>
      <c r="G235" s="17" t="n"/>
      <c r="H235" s="15" t="n"/>
      <c r="K235" s="17" t="n"/>
      <c r="L235" s="17" t="n"/>
      <c r="O235" s="18" t="n"/>
      <c r="P235" s="18" t="n"/>
      <c r="Q235" s="18" t="n"/>
      <c r="S235" s="15" t="n"/>
      <c r="T235" s="19" t="n"/>
      <c r="U235" s="15" t="n"/>
      <c r="V235" s="15" t="n"/>
      <c r="W235" s="15" t="n"/>
      <c r="Y235" s="36" t="n"/>
      <c r="Z235" s="36" t="n"/>
      <c r="AA235" s="36" t="n"/>
      <c r="AB235" s="35" t="n"/>
      <c r="AC235" s="38" t="n"/>
      <c r="AD235" s="38" t="n"/>
      <c r="AE235" s="38" t="n"/>
      <c r="AF235" s="38" t="n"/>
      <c r="AG235" s="15" t="n"/>
    </row>
    <row r="236">
      <c r="A236" s="14" t="n"/>
      <c r="D236" s="16" t="n"/>
      <c r="E236" s="17" t="n"/>
      <c r="G236" s="17" t="n"/>
      <c r="H236" s="15" t="n"/>
      <c r="K236" s="17" t="n"/>
      <c r="L236" s="17" t="n"/>
      <c r="O236" s="18" t="n"/>
      <c r="P236" s="18" t="n"/>
      <c r="Q236" s="18" t="n"/>
      <c r="S236" s="15" t="n"/>
      <c r="T236" s="19" t="n"/>
      <c r="U236" s="15" t="n"/>
      <c r="V236" s="15" t="n"/>
      <c r="W236" s="15" t="n"/>
      <c r="Y236" s="36" t="n"/>
      <c r="Z236" s="36" t="n"/>
      <c r="AA236" s="36" t="n"/>
      <c r="AB236" s="35" t="n"/>
      <c r="AC236" s="38" t="n"/>
      <c r="AD236" s="38" t="n"/>
      <c r="AE236" s="38" t="n"/>
      <c r="AF236" s="38" t="n"/>
      <c r="AG236" s="15" t="n"/>
    </row>
    <row r="237">
      <c r="A237" s="14" t="n"/>
      <c r="D237" s="16" t="n"/>
      <c r="E237" s="17" t="n"/>
      <c r="G237" s="17" t="n"/>
      <c r="H237" s="15" t="n"/>
      <c r="K237" s="17" t="n"/>
      <c r="L237" s="17" t="n"/>
      <c r="O237" s="18" t="n"/>
      <c r="P237" s="18" t="n"/>
      <c r="Q237" s="18" t="n"/>
      <c r="S237" s="15" t="n"/>
      <c r="T237" s="19" t="n"/>
      <c r="U237" s="15" t="n"/>
      <c r="V237" s="15" t="n"/>
      <c r="W237" s="15" t="n"/>
      <c r="Y237" s="36" t="n"/>
      <c r="Z237" s="36" t="n"/>
      <c r="AA237" s="36" t="n"/>
      <c r="AB237" s="35" t="n"/>
      <c r="AC237" s="38" t="n"/>
      <c r="AD237" s="38" t="n"/>
      <c r="AE237" s="38" t="n"/>
      <c r="AF237" s="38" t="n"/>
      <c r="AG237" s="15" t="n"/>
    </row>
    <row r="238">
      <c r="A238" s="14" t="n"/>
      <c r="D238" s="16" t="n"/>
      <c r="E238" s="17" t="n"/>
      <c r="G238" s="17" t="n"/>
      <c r="H238" s="15" t="n"/>
      <c r="K238" s="17" t="n"/>
      <c r="L238" s="17" t="n"/>
      <c r="O238" s="18" t="n"/>
      <c r="P238" s="18" t="n"/>
      <c r="Q238" s="18" t="n"/>
      <c r="S238" s="15" t="n"/>
      <c r="T238" s="19" t="n"/>
      <c r="U238" s="15" t="n"/>
      <c r="V238" s="15" t="n"/>
      <c r="W238" s="15" t="n"/>
      <c r="Y238" s="36" t="n"/>
      <c r="Z238" s="36" t="n"/>
      <c r="AA238" s="36" t="n"/>
      <c r="AB238" s="35" t="n"/>
      <c r="AC238" s="38" t="n"/>
      <c r="AD238" s="38" t="n"/>
      <c r="AE238" s="38" t="n"/>
      <c r="AF238" s="38" t="n"/>
      <c r="AG238" s="15" t="n"/>
    </row>
    <row r="239">
      <c r="A239" s="14" t="n"/>
      <c r="D239" s="16" t="n"/>
      <c r="E239" s="17" t="n"/>
      <c r="G239" s="17" t="n"/>
      <c r="H239" s="15" t="n"/>
      <c r="K239" s="17" t="n"/>
      <c r="L239" s="17" t="n"/>
      <c r="O239" s="18" t="n"/>
      <c r="P239" s="18" t="n"/>
      <c r="Q239" s="18" t="n"/>
      <c r="S239" s="15" t="n"/>
      <c r="T239" s="19" t="n"/>
      <c r="U239" s="15" t="n"/>
      <c r="V239" s="15" t="n"/>
      <c r="W239" s="15" t="n"/>
      <c r="Y239" s="36" t="n"/>
      <c r="Z239" s="36" t="n"/>
      <c r="AA239" s="36" t="n"/>
      <c r="AB239" s="35" t="n"/>
      <c r="AC239" s="38" t="n"/>
      <c r="AD239" s="38" t="n"/>
      <c r="AE239" s="38" t="n"/>
      <c r="AF239" s="38" t="n"/>
      <c r="AG239" s="15" t="n"/>
    </row>
    <row r="240">
      <c r="A240" s="14" t="n"/>
      <c r="D240" s="16" t="n"/>
      <c r="E240" s="17" t="n"/>
      <c r="G240" s="17" t="n"/>
      <c r="H240" s="15" t="n"/>
      <c r="K240" s="17" t="n"/>
      <c r="L240" s="17" t="n"/>
      <c r="O240" s="18" t="n"/>
      <c r="P240" s="18" t="n"/>
      <c r="Q240" s="18" t="n"/>
      <c r="S240" s="15" t="n"/>
      <c r="T240" s="19" t="n"/>
      <c r="U240" s="15" t="n"/>
      <c r="V240" s="15" t="n"/>
      <c r="W240" s="15" t="n"/>
      <c r="Y240" s="36" t="n"/>
      <c r="Z240" s="36" t="n"/>
      <c r="AA240" s="36" t="n"/>
      <c r="AB240" s="35" t="n"/>
      <c r="AC240" s="38" t="n"/>
      <c r="AD240" s="38" t="n"/>
      <c r="AE240" s="38" t="n"/>
      <c r="AF240" s="38" t="n"/>
      <c r="AG240" s="15" t="n"/>
    </row>
    <row r="241">
      <c r="A241" s="14" t="n"/>
      <c r="D241" s="16" t="n"/>
      <c r="E241" s="17" t="n"/>
      <c r="G241" s="17" t="n"/>
      <c r="H241" s="15" t="n"/>
      <c r="K241" s="17" t="n"/>
      <c r="L241" s="17" t="n"/>
      <c r="O241" s="18" t="n"/>
      <c r="P241" s="18" t="n"/>
      <c r="Q241" s="18" t="n"/>
      <c r="S241" s="15" t="n"/>
      <c r="T241" s="19" t="n"/>
      <c r="U241" s="15" t="n"/>
      <c r="V241" s="15" t="n"/>
      <c r="W241" s="15" t="n"/>
      <c r="Y241" s="36" t="n"/>
      <c r="Z241" s="36" t="n"/>
      <c r="AA241" s="36" t="n"/>
      <c r="AB241" s="35" t="n"/>
      <c r="AC241" s="38" t="n"/>
      <c r="AD241" s="38" t="n"/>
      <c r="AE241" s="38" t="n"/>
      <c r="AF241" s="38" t="n"/>
      <c r="AG241" s="15" t="n"/>
    </row>
    <row r="242">
      <c r="A242" s="14" t="n"/>
      <c r="D242" s="16" t="n"/>
      <c r="E242" s="17" t="n"/>
      <c r="G242" s="17" t="n"/>
      <c r="H242" s="15" t="n"/>
      <c r="K242" s="17" t="n"/>
      <c r="L242" s="17" t="n"/>
      <c r="O242" s="18" t="n"/>
      <c r="P242" s="18" t="n"/>
      <c r="Q242" s="18" t="n"/>
      <c r="S242" s="15" t="n"/>
      <c r="T242" s="19" t="n"/>
      <c r="U242" s="15" t="n"/>
      <c r="V242" s="15" t="n"/>
      <c r="W242" s="15" t="n"/>
      <c r="Y242" s="36" t="n"/>
      <c r="Z242" s="36" t="n"/>
      <c r="AA242" s="36" t="n"/>
      <c r="AB242" s="35" t="n"/>
      <c r="AC242" s="38" t="n"/>
      <c r="AD242" s="38" t="n"/>
      <c r="AE242" s="38" t="n"/>
      <c r="AF242" s="38" t="n"/>
      <c r="AG242" s="15" t="n"/>
    </row>
    <row r="243">
      <c r="A243" s="14" t="n"/>
      <c r="D243" s="16" t="n"/>
      <c r="E243" s="17" t="n"/>
      <c r="G243" s="17" t="n"/>
      <c r="H243" s="15" t="n"/>
      <c r="K243" s="17" t="n"/>
      <c r="L243" s="17" t="n"/>
      <c r="O243" s="18" t="n"/>
      <c r="P243" s="18" t="n"/>
      <c r="Q243" s="18" t="n"/>
      <c r="S243" s="15" t="n"/>
      <c r="T243" s="19" t="n"/>
      <c r="U243" s="15" t="n"/>
      <c r="V243" s="15" t="n"/>
      <c r="W243" s="15" t="n"/>
      <c r="Y243" s="36" t="n"/>
      <c r="Z243" s="36" t="n"/>
      <c r="AA243" s="36" t="n"/>
      <c r="AB243" s="35" t="n"/>
      <c r="AC243" s="38" t="n"/>
      <c r="AD243" s="38" t="n"/>
      <c r="AE243" s="38" t="n"/>
      <c r="AF243" s="38" t="n"/>
      <c r="AG243" s="15" t="n"/>
    </row>
    <row r="244">
      <c r="A244" s="14" t="n"/>
      <c r="D244" s="16" t="n"/>
      <c r="E244" s="17" t="n"/>
      <c r="G244" s="17" t="n"/>
      <c r="H244" s="15" t="n"/>
      <c r="K244" s="17" t="n"/>
      <c r="L244" s="17" t="n"/>
      <c r="O244" s="18" t="n"/>
      <c r="P244" s="18" t="n"/>
      <c r="Q244" s="18" t="n"/>
      <c r="S244" s="15" t="n"/>
      <c r="T244" s="19" t="n"/>
      <c r="U244" s="15" t="n"/>
      <c r="V244" s="15" t="n"/>
      <c r="W244" s="15" t="n"/>
      <c r="Y244" s="36" t="n"/>
      <c r="Z244" s="36" t="n"/>
      <c r="AA244" s="36" t="n"/>
      <c r="AB244" s="35" t="n"/>
      <c r="AC244" s="38" t="n"/>
      <c r="AD244" s="38" t="n"/>
      <c r="AE244" s="38" t="n"/>
      <c r="AF244" s="38" t="n"/>
      <c r="AG244" s="15" t="n"/>
    </row>
    <row r="245">
      <c r="A245" s="14" t="n"/>
      <c r="D245" s="16" t="n"/>
      <c r="E245" s="17" t="n"/>
      <c r="G245" s="17" t="n"/>
      <c r="H245" s="15" t="n"/>
      <c r="K245" s="17" t="n"/>
      <c r="L245" s="17" t="n"/>
      <c r="O245" s="18" t="n"/>
      <c r="P245" s="18" t="n"/>
      <c r="Q245" s="18" t="n"/>
      <c r="S245" s="15" t="n"/>
      <c r="T245" s="19" t="n"/>
      <c r="U245" s="15" t="n"/>
      <c r="V245" s="15" t="n"/>
      <c r="W245" s="15" t="n"/>
      <c r="Y245" s="36" t="n"/>
      <c r="Z245" s="36" t="n"/>
      <c r="AA245" s="36" t="n"/>
      <c r="AB245" s="35" t="n"/>
      <c r="AC245" s="38" t="n"/>
      <c r="AD245" s="38" t="n"/>
      <c r="AE245" s="38" t="n"/>
      <c r="AF245" s="38" t="n"/>
      <c r="AG245" s="15" t="n"/>
    </row>
    <row r="246">
      <c r="A246" s="14" t="n"/>
      <c r="D246" s="16" t="n"/>
      <c r="E246" s="17" t="n"/>
      <c r="G246" s="17" t="n"/>
      <c r="H246" s="15" t="n"/>
      <c r="K246" s="17" t="n"/>
      <c r="L246" s="17" t="n"/>
      <c r="O246" s="18" t="n"/>
      <c r="P246" s="18" t="n"/>
      <c r="Q246" s="18" t="n"/>
      <c r="S246" s="15" t="n"/>
      <c r="T246" s="19" t="n"/>
      <c r="U246" s="15" t="n"/>
      <c r="V246" s="15" t="n"/>
      <c r="W246" s="15" t="n"/>
      <c r="Y246" s="36" t="n"/>
      <c r="Z246" s="36" t="n"/>
      <c r="AA246" s="36" t="n"/>
      <c r="AB246" s="35" t="n"/>
      <c r="AC246" s="38" t="n"/>
      <c r="AD246" s="38" t="n"/>
      <c r="AE246" s="38" t="n"/>
      <c r="AF246" s="38" t="n"/>
      <c r="AG246" s="15" t="n"/>
    </row>
    <row r="247">
      <c r="A247" s="14" t="n"/>
      <c r="D247" s="16" t="n"/>
      <c r="E247" s="17" t="n"/>
      <c r="G247" s="17" t="n"/>
      <c r="H247" s="15" t="n"/>
      <c r="K247" s="17" t="n"/>
      <c r="L247" s="17" t="n"/>
      <c r="O247" s="18" t="n"/>
      <c r="P247" s="18" t="n"/>
      <c r="Q247" s="18" t="n"/>
      <c r="S247" s="15" t="n"/>
      <c r="T247" s="19" t="n"/>
      <c r="U247" s="15" t="n"/>
      <c r="V247" s="15" t="n"/>
      <c r="W247" s="15" t="n"/>
      <c r="Y247" s="36" t="n"/>
      <c r="Z247" s="36" t="n"/>
      <c r="AA247" s="36" t="n"/>
      <c r="AB247" s="35" t="n"/>
      <c r="AC247" s="38" t="n"/>
      <c r="AD247" s="38" t="n"/>
      <c r="AE247" s="38" t="n"/>
      <c r="AF247" s="38" t="n"/>
      <c r="AG247" s="15" t="n"/>
    </row>
    <row r="248">
      <c r="A248" s="14" t="n"/>
      <c r="D248" s="16" t="n"/>
      <c r="E248" s="17" t="n"/>
      <c r="G248" s="17" t="n"/>
      <c r="H248" s="15" t="n"/>
      <c r="K248" s="17" t="n"/>
      <c r="L248" s="17" t="n"/>
      <c r="O248" s="18" t="n"/>
      <c r="P248" s="18" t="n"/>
      <c r="Q248" s="18" t="n"/>
      <c r="S248" s="15" t="n"/>
      <c r="T248" s="19" t="n"/>
      <c r="U248" s="15" t="n"/>
      <c r="V248" s="15" t="n"/>
      <c r="W248" s="15" t="n"/>
      <c r="Y248" s="36" t="n"/>
      <c r="Z248" s="36" t="n"/>
      <c r="AA248" s="36" t="n"/>
      <c r="AB248" s="35" t="n"/>
      <c r="AC248" s="38" t="n"/>
      <c r="AD248" s="38" t="n"/>
      <c r="AE248" s="38" t="n"/>
      <c r="AF248" s="38" t="n"/>
      <c r="AG248" s="15" t="n"/>
    </row>
    <row r="249">
      <c r="A249" s="14" t="n"/>
      <c r="D249" s="16" t="n"/>
      <c r="E249" s="17" t="n"/>
      <c r="G249" s="17" t="n"/>
      <c r="H249" s="15" t="n"/>
      <c r="K249" s="17" t="n"/>
      <c r="L249" s="17" t="n"/>
      <c r="O249" s="18" t="n"/>
      <c r="P249" s="18" t="n"/>
      <c r="Q249" s="18" t="n"/>
      <c r="S249" s="15" t="n"/>
      <c r="T249" s="19" t="n"/>
      <c r="U249" s="15" t="n"/>
      <c r="V249" s="15" t="n"/>
      <c r="W249" s="15" t="n"/>
      <c r="Y249" s="36" t="n"/>
      <c r="Z249" s="36" t="n"/>
      <c r="AA249" s="36" t="n"/>
      <c r="AB249" s="35" t="n"/>
      <c r="AC249" s="38" t="n"/>
      <c r="AD249" s="38" t="n"/>
      <c r="AE249" s="38" t="n"/>
      <c r="AF249" s="38" t="n"/>
      <c r="AG249" s="15" t="n"/>
    </row>
    <row r="250">
      <c r="A250" s="14" t="n"/>
      <c r="D250" s="16" t="n"/>
      <c r="E250" s="17" t="n"/>
      <c r="G250" s="17" t="n"/>
      <c r="H250" s="15" t="n"/>
      <c r="K250" s="17" t="n"/>
      <c r="L250" s="17" t="n"/>
      <c r="O250" s="18" t="n"/>
      <c r="P250" s="18" t="n"/>
      <c r="Q250" s="18" t="n"/>
      <c r="S250" s="15" t="n"/>
      <c r="T250" s="19" t="n"/>
      <c r="U250" s="15" t="n"/>
      <c r="V250" s="15" t="n"/>
      <c r="W250" s="15" t="n"/>
      <c r="Y250" s="36" t="n"/>
      <c r="Z250" s="36" t="n"/>
      <c r="AA250" s="36" t="n"/>
      <c r="AB250" s="35" t="n"/>
      <c r="AC250" s="38" t="n"/>
      <c r="AD250" s="38" t="n"/>
      <c r="AE250" s="38" t="n"/>
      <c r="AF250" s="38" t="n"/>
      <c r="AG250" s="15" t="n"/>
    </row>
    <row r="251">
      <c r="A251" s="14" t="n"/>
      <c r="D251" s="16" t="n"/>
      <c r="E251" s="17" t="n"/>
      <c r="G251" s="17" t="n"/>
      <c r="H251" s="15" t="n"/>
      <c r="K251" s="17" t="n"/>
      <c r="L251" s="17" t="n"/>
      <c r="O251" s="18" t="n"/>
      <c r="P251" s="18" t="n"/>
      <c r="Q251" s="18" t="n"/>
      <c r="S251" s="15" t="n"/>
      <c r="T251" s="19" t="n"/>
      <c r="U251" s="15" t="n"/>
      <c r="V251" s="15" t="n"/>
      <c r="W251" s="15" t="n"/>
      <c r="Y251" s="36" t="n"/>
      <c r="Z251" s="36" t="n"/>
      <c r="AA251" s="36" t="n"/>
      <c r="AB251" s="35" t="n"/>
      <c r="AC251" s="38" t="n"/>
      <c r="AD251" s="38" t="n"/>
      <c r="AE251" s="38" t="n"/>
      <c r="AF251" s="38" t="n"/>
      <c r="AG251" s="15" t="n"/>
    </row>
    <row r="252">
      <c r="A252" s="14" t="n"/>
      <c r="D252" s="16" t="n"/>
      <c r="E252" s="17" t="n"/>
      <c r="G252" s="17" t="n"/>
      <c r="H252" s="15" t="n"/>
      <c r="K252" s="17" t="n"/>
      <c r="L252" s="17" t="n"/>
      <c r="O252" s="18" t="n"/>
      <c r="P252" s="18" t="n"/>
      <c r="Q252" s="18" t="n"/>
      <c r="S252" s="15" t="n"/>
      <c r="T252" s="19" t="n"/>
      <c r="U252" s="15" t="n"/>
      <c r="V252" s="15" t="n"/>
      <c r="W252" s="15" t="n"/>
      <c r="Y252" s="36" t="n"/>
      <c r="Z252" s="36" t="n"/>
      <c r="AA252" s="36" t="n"/>
      <c r="AB252" s="35" t="n"/>
      <c r="AC252" s="38" t="n"/>
      <c r="AD252" s="38" t="n"/>
      <c r="AE252" s="38" t="n"/>
      <c r="AF252" s="38" t="n"/>
      <c r="AG252" s="15" t="n"/>
    </row>
    <row r="253">
      <c r="A253" s="14" t="n"/>
      <c r="D253" s="16" t="n"/>
      <c r="E253" s="17" t="n"/>
      <c r="G253" s="17" t="n"/>
      <c r="H253" s="15" t="n"/>
      <c r="K253" s="17" t="n"/>
      <c r="L253" s="17" t="n"/>
      <c r="O253" s="18" t="n"/>
      <c r="P253" s="18" t="n"/>
      <c r="Q253" s="18" t="n"/>
      <c r="S253" s="15" t="n"/>
      <c r="T253" s="19" t="n"/>
      <c r="U253" s="15" t="n"/>
      <c r="V253" s="15" t="n"/>
      <c r="W253" s="15" t="n"/>
      <c r="Y253" s="36" t="n"/>
      <c r="Z253" s="36" t="n"/>
      <c r="AA253" s="36" t="n"/>
      <c r="AB253" s="35" t="n"/>
      <c r="AC253" s="38" t="n"/>
      <c r="AD253" s="38" t="n"/>
      <c r="AE253" s="38" t="n"/>
      <c r="AF253" s="38" t="n"/>
      <c r="AG253" s="15" t="n"/>
    </row>
    <row r="254">
      <c r="A254" s="14" t="n"/>
      <c r="D254" s="16" t="n"/>
      <c r="E254" s="17" t="n"/>
      <c r="G254" s="17" t="n"/>
      <c r="H254" s="15" t="n"/>
      <c r="K254" s="17" t="n"/>
      <c r="L254" s="17" t="n"/>
      <c r="O254" s="18" t="n"/>
      <c r="P254" s="18" t="n"/>
      <c r="Q254" s="18" t="n"/>
      <c r="S254" s="15" t="n"/>
      <c r="T254" s="19" t="n"/>
      <c r="U254" s="15" t="n"/>
      <c r="V254" s="15" t="n"/>
      <c r="W254" s="15" t="n"/>
      <c r="Y254" s="36" t="n"/>
      <c r="Z254" s="36" t="n"/>
      <c r="AA254" s="36" t="n"/>
      <c r="AB254" s="35" t="n"/>
      <c r="AC254" s="38" t="n"/>
      <c r="AD254" s="38" t="n"/>
      <c r="AE254" s="38" t="n"/>
      <c r="AF254" s="38" t="n"/>
      <c r="AG254" s="15" t="n"/>
    </row>
    <row r="255">
      <c r="A255" s="14" t="n"/>
      <c r="D255" s="16" t="n"/>
      <c r="E255" s="17" t="n"/>
      <c r="G255" s="17" t="n"/>
      <c r="H255" s="15" t="n"/>
      <c r="K255" s="17" t="n"/>
      <c r="L255" s="17" t="n"/>
      <c r="O255" s="18" t="n"/>
      <c r="P255" s="18" t="n"/>
      <c r="Q255" s="18" t="n"/>
      <c r="S255" s="15" t="n"/>
      <c r="T255" s="19" t="n"/>
      <c r="U255" s="15" t="n"/>
      <c r="V255" s="15" t="n"/>
      <c r="W255" s="15" t="n"/>
      <c r="Y255" s="36" t="n"/>
      <c r="Z255" s="36" t="n"/>
      <c r="AA255" s="36" t="n"/>
      <c r="AB255" s="35" t="n"/>
      <c r="AC255" s="38" t="n"/>
      <c r="AD255" s="38" t="n"/>
      <c r="AE255" s="38" t="n"/>
      <c r="AF255" s="38" t="n"/>
      <c r="AG255" s="15" t="n"/>
    </row>
    <row r="256">
      <c r="A256" s="14" t="n"/>
      <c r="D256" s="16" t="n"/>
      <c r="E256" s="17" t="n"/>
      <c r="G256" s="17" t="n"/>
      <c r="H256" s="15" t="n"/>
      <c r="K256" s="17" t="n"/>
      <c r="L256" s="17" t="n"/>
      <c r="O256" s="18" t="n"/>
      <c r="P256" s="18" t="n"/>
      <c r="Q256" s="18" t="n"/>
      <c r="S256" s="15" t="n"/>
      <c r="T256" s="19" t="n"/>
      <c r="U256" s="15" t="n"/>
      <c r="V256" s="15" t="n"/>
      <c r="W256" s="15" t="n"/>
      <c r="Y256" s="36" t="n"/>
      <c r="Z256" s="36" t="n"/>
      <c r="AA256" s="36" t="n"/>
      <c r="AB256" s="35" t="n"/>
      <c r="AC256" s="38" t="n"/>
      <c r="AD256" s="38" t="n"/>
      <c r="AE256" s="38" t="n"/>
      <c r="AF256" s="38" t="n"/>
      <c r="AG256" s="15" t="n"/>
    </row>
    <row r="257">
      <c r="A257" s="14" t="n"/>
      <c r="D257" s="16" t="n"/>
      <c r="E257" s="17" t="n"/>
      <c r="G257" s="17" t="n"/>
      <c r="H257" s="15" t="n"/>
      <c r="K257" s="17" t="n"/>
      <c r="L257" s="17" t="n"/>
      <c r="O257" s="18" t="n"/>
      <c r="P257" s="18" t="n"/>
      <c r="Q257" s="18" t="n"/>
      <c r="S257" s="15" t="n"/>
      <c r="T257" s="19" t="n"/>
      <c r="U257" s="15" t="n"/>
      <c r="V257" s="15" t="n"/>
      <c r="W257" s="15" t="n"/>
      <c r="Y257" s="36" t="n"/>
      <c r="Z257" s="36" t="n"/>
      <c r="AA257" s="36" t="n"/>
      <c r="AB257" s="35" t="n"/>
      <c r="AC257" s="38" t="n"/>
      <c r="AD257" s="38" t="n"/>
      <c r="AE257" s="38" t="n"/>
      <c r="AF257" s="38" t="n"/>
      <c r="AG257" s="15" t="n"/>
    </row>
    <row r="258">
      <c r="A258" s="14" t="n"/>
      <c r="D258" s="16" t="n"/>
      <c r="E258" s="17" t="n"/>
      <c r="G258" s="17" t="n"/>
      <c r="H258" s="15" t="n"/>
      <c r="K258" s="17" t="n"/>
      <c r="L258" s="17" t="n"/>
      <c r="O258" s="18" t="n"/>
      <c r="P258" s="18" t="n"/>
      <c r="Q258" s="18" t="n"/>
      <c r="S258" s="15" t="n"/>
      <c r="T258" s="19" t="n"/>
      <c r="U258" s="15" t="n"/>
      <c r="V258" s="15" t="n"/>
      <c r="W258" s="15" t="n"/>
      <c r="Y258" s="36" t="n"/>
      <c r="Z258" s="36" t="n"/>
      <c r="AA258" s="36" t="n"/>
      <c r="AB258" s="35" t="n"/>
      <c r="AC258" s="38" t="n"/>
      <c r="AD258" s="38" t="n"/>
      <c r="AE258" s="38" t="n"/>
      <c r="AF258" s="38" t="n"/>
      <c r="AG258" s="15" t="n"/>
    </row>
    <row r="259">
      <c r="A259" s="14" t="n"/>
      <c r="D259" s="16" t="n"/>
      <c r="E259" s="17" t="n"/>
      <c r="G259" s="17" t="n"/>
      <c r="H259" s="15" t="n"/>
      <c r="K259" s="17" t="n"/>
      <c r="L259" s="17" t="n"/>
      <c r="O259" s="18" t="n"/>
      <c r="P259" s="18" t="n"/>
      <c r="Q259" s="18" t="n"/>
      <c r="S259" s="15" t="n"/>
      <c r="T259" s="19" t="n"/>
      <c r="U259" s="15" t="n"/>
      <c r="V259" s="15" t="n"/>
      <c r="W259" s="15" t="n"/>
      <c r="Y259" s="36" t="n"/>
      <c r="Z259" s="36" t="n"/>
      <c r="AA259" s="36" t="n"/>
      <c r="AB259" s="35" t="n"/>
      <c r="AC259" s="38" t="n"/>
      <c r="AD259" s="38" t="n"/>
      <c r="AE259" s="38" t="n"/>
      <c r="AF259" s="38" t="n"/>
      <c r="AG259" s="15" t="n"/>
    </row>
    <row r="260">
      <c r="A260" s="14" t="n"/>
      <c r="D260" s="16" t="n"/>
      <c r="E260" s="17" t="n"/>
      <c r="G260" s="17" t="n"/>
      <c r="H260" s="15" t="n"/>
      <c r="K260" s="17" t="n"/>
      <c r="L260" s="17" t="n"/>
      <c r="O260" s="18" t="n"/>
      <c r="P260" s="18" t="n"/>
      <c r="Q260" s="18" t="n"/>
      <c r="S260" s="15" t="n"/>
      <c r="T260" s="19" t="n"/>
      <c r="U260" s="15" t="n"/>
      <c r="V260" s="15" t="n"/>
      <c r="W260" s="15" t="n"/>
      <c r="Y260" s="36" t="n"/>
      <c r="Z260" s="36" t="n"/>
      <c r="AA260" s="36" t="n"/>
      <c r="AB260" s="35" t="n"/>
      <c r="AC260" s="38" t="n"/>
      <c r="AD260" s="38" t="n"/>
      <c r="AE260" s="38" t="n"/>
      <c r="AF260" s="38" t="n"/>
      <c r="AG260" s="15" t="n"/>
    </row>
    <row r="261">
      <c r="A261" s="14" t="n"/>
      <c r="D261" s="16" t="n"/>
      <c r="E261" s="17" t="n"/>
      <c r="G261" s="17" t="n"/>
      <c r="H261" s="15" t="n"/>
      <c r="K261" s="17" t="n"/>
      <c r="L261" s="17" t="n"/>
      <c r="O261" s="18" t="n"/>
      <c r="P261" s="18" t="n"/>
      <c r="Q261" s="18" t="n"/>
      <c r="S261" s="15" t="n"/>
      <c r="T261" s="19" t="n"/>
      <c r="U261" s="15" t="n"/>
      <c r="V261" s="15" t="n"/>
      <c r="W261" s="15" t="n"/>
      <c r="Y261" s="36" t="n"/>
      <c r="Z261" s="36" t="n"/>
      <c r="AA261" s="36" t="n"/>
      <c r="AB261" s="35" t="n"/>
      <c r="AC261" s="38" t="n"/>
      <c r="AD261" s="38" t="n"/>
      <c r="AE261" s="38" t="n"/>
      <c r="AF261" s="38" t="n"/>
      <c r="AG261" s="15" t="n"/>
    </row>
    <row r="262">
      <c r="A262" s="14" t="n"/>
      <c r="D262" s="16" t="n"/>
      <c r="E262" s="17" t="n"/>
      <c r="G262" s="17" t="n"/>
      <c r="H262" s="15" t="n"/>
      <c r="K262" s="17" t="n"/>
      <c r="L262" s="17" t="n"/>
      <c r="O262" s="18" t="n"/>
      <c r="P262" s="18" t="n"/>
      <c r="Q262" s="18" t="n"/>
      <c r="S262" s="15" t="n"/>
      <c r="T262" s="19" t="n"/>
      <c r="U262" s="15" t="n"/>
      <c r="V262" s="15" t="n"/>
      <c r="W262" s="15" t="n"/>
      <c r="Y262" s="36" t="n"/>
      <c r="Z262" s="36" t="n"/>
      <c r="AA262" s="36" t="n"/>
      <c r="AB262" s="35" t="n"/>
      <c r="AC262" s="38" t="n"/>
      <c r="AD262" s="38" t="n"/>
      <c r="AE262" s="38" t="n"/>
      <c r="AF262" s="38" t="n"/>
      <c r="AG262" s="15" t="n"/>
    </row>
    <row r="263">
      <c r="A263" s="14" t="n"/>
      <c r="D263" s="16" t="n"/>
      <c r="E263" s="17" t="n"/>
      <c r="G263" s="17" t="n"/>
      <c r="H263" s="15" t="n"/>
      <c r="K263" s="17" t="n"/>
      <c r="L263" s="17" t="n"/>
      <c r="O263" s="18" t="n"/>
      <c r="P263" s="18" t="n"/>
      <c r="Q263" s="18" t="n"/>
      <c r="S263" s="15" t="n"/>
      <c r="T263" s="19" t="n"/>
      <c r="U263" s="15" t="n"/>
      <c r="V263" s="15" t="n"/>
      <c r="W263" s="15" t="n"/>
      <c r="Y263" s="36" t="n"/>
      <c r="Z263" s="36" t="n"/>
      <c r="AA263" s="36" t="n"/>
      <c r="AB263" s="35" t="n"/>
      <c r="AC263" s="38" t="n"/>
      <c r="AD263" s="38" t="n"/>
      <c r="AE263" s="38" t="n"/>
      <c r="AF263" s="38" t="n"/>
      <c r="AG263" s="15" t="n"/>
    </row>
    <row r="264">
      <c r="A264" s="14" t="n"/>
      <c r="D264" s="16" t="n"/>
      <c r="E264" s="17" t="n"/>
      <c r="G264" s="17" t="n"/>
      <c r="H264" s="15" t="n"/>
      <c r="K264" s="17" t="n"/>
      <c r="L264" s="17" t="n"/>
      <c r="O264" s="18" t="n"/>
      <c r="P264" s="18" t="n"/>
      <c r="Q264" s="18" t="n"/>
      <c r="S264" s="15" t="n"/>
      <c r="T264" s="19" t="n"/>
      <c r="U264" s="15" t="n"/>
      <c r="V264" s="15" t="n"/>
      <c r="W264" s="15" t="n"/>
      <c r="Y264" s="36" t="n"/>
      <c r="Z264" s="36" t="n"/>
      <c r="AA264" s="36" t="n"/>
      <c r="AB264" s="35" t="n"/>
      <c r="AC264" s="38" t="n"/>
      <c r="AD264" s="38" t="n"/>
      <c r="AE264" s="38" t="n"/>
      <c r="AF264" s="38" t="n"/>
      <c r="AG264" s="15" t="n"/>
    </row>
    <row r="265">
      <c r="A265" s="14" t="n"/>
      <c r="D265" s="16" t="n"/>
      <c r="E265" s="17" t="n"/>
      <c r="G265" s="17" t="n"/>
      <c r="H265" s="15" t="n"/>
      <c r="K265" s="17" t="n"/>
      <c r="L265" s="17" t="n"/>
      <c r="O265" s="18" t="n"/>
      <c r="P265" s="18" t="n"/>
      <c r="Q265" s="18" t="n"/>
      <c r="S265" s="15" t="n"/>
      <c r="T265" s="19" t="n"/>
      <c r="U265" s="15" t="n"/>
      <c r="V265" s="15" t="n"/>
      <c r="W265" s="15" t="n"/>
      <c r="Y265" s="36" t="n"/>
      <c r="Z265" s="36" t="n"/>
      <c r="AA265" s="36" t="n"/>
      <c r="AB265" s="35" t="n"/>
      <c r="AC265" s="38" t="n"/>
      <c r="AD265" s="38" t="n"/>
      <c r="AE265" s="38" t="n"/>
      <c r="AF265" s="38" t="n"/>
      <c r="AG265" s="15" t="n"/>
    </row>
    <row r="266">
      <c r="A266" s="14" t="n"/>
      <c r="D266" s="16" t="n"/>
      <c r="E266" s="17" t="n"/>
      <c r="G266" s="17" t="n"/>
      <c r="H266" s="15" t="n"/>
      <c r="K266" s="17" t="n"/>
      <c r="L266" s="17" t="n"/>
      <c r="O266" s="18" t="n"/>
      <c r="P266" s="18" t="n"/>
      <c r="Q266" s="18" t="n"/>
      <c r="S266" s="15" t="n"/>
      <c r="T266" s="19" t="n"/>
      <c r="U266" s="15" t="n"/>
      <c r="V266" s="15" t="n"/>
      <c r="W266" s="15" t="n"/>
      <c r="Y266" s="36" t="n"/>
      <c r="Z266" s="36" t="n"/>
      <c r="AA266" s="36" t="n"/>
      <c r="AB266" s="35" t="n"/>
      <c r="AC266" s="38" t="n"/>
      <c r="AD266" s="38" t="n"/>
      <c r="AE266" s="38" t="n"/>
      <c r="AF266" s="38" t="n"/>
      <c r="AG266" s="15" t="n"/>
    </row>
    <row r="267">
      <c r="A267" s="14" t="n"/>
      <c r="D267" s="16" t="n"/>
      <c r="E267" s="17" t="n"/>
      <c r="G267" s="17" t="n"/>
      <c r="H267" s="15" t="n"/>
      <c r="K267" s="17" t="n"/>
      <c r="L267" s="17" t="n"/>
      <c r="O267" s="18" t="n"/>
      <c r="P267" s="18" t="n"/>
      <c r="Q267" s="18" t="n"/>
      <c r="S267" s="15" t="n"/>
      <c r="T267" s="19" t="n"/>
      <c r="U267" s="15" t="n"/>
      <c r="V267" s="15" t="n"/>
      <c r="W267" s="15" t="n"/>
      <c r="Y267" s="36" t="n"/>
      <c r="Z267" s="36" t="n"/>
      <c r="AA267" s="36" t="n"/>
      <c r="AB267" s="35" t="n"/>
      <c r="AC267" s="38" t="n"/>
      <c r="AD267" s="38" t="n"/>
      <c r="AE267" s="38" t="n"/>
      <c r="AF267" s="38" t="n"/>
      <c r="AG267" s="15" t="n"/>
    </row>
    <row r="268">
      <c r="A268" s="14" t="n"/>
      <c r="D268" s="16" t="n"/>
      <c r="E268" s="17" t="n"/>
      <c r="G268" s="17" t="n"/>
      <c r="H268" s="15" t="n"/>
      <c r="K268" s="17" t="n"/>
      <c r="L268" s="17" t="n"/>
      <c r="O268" s="18" t="n"/>
      <c r="P268" s="18" t="n"/>
      <c r="Q268" s="18" t="n"/>
      <c r="S268" s="15" t="n"/>
      <c r="T268" s="19" t="n"/>
      <c r="U268" s="15" t="n"/>
      <c r="V268" s="15" t="n"/>
      <c r="W268" s="15" t="n"/>
      <c r="Y268" s="36" t="n"/>
      <c r="Z268" s="36" t="n"/>
      <c r="AA268" s="36" t="n"/>
      <c r="AB268" s="35" t="n"/>
      <c r="AC268" s="38" t="n"/>
      <c r="AD268" s="38" t="n"/>
      <c r="AE268" s="38" t="n"/>
      <c r="AF268" s="38" t="n"/>
      <c r="AG268" s="15" t="n"/>
    </row>
    <row r="269">
      <c r="A269" s="14" t="n"/>
      <c r="D269" s="16" t="n"/>
      <c r="E269" s="17" t="n"/>
      <c r="G269" s="17" t="n"/>
      <c r="H269" s="15" t="n"/>
      <c r="K269" s="17" t="n"/>
      <c r="L269" s="17" t="n"/>
      <c r="O269" s="18" t="n"/>
      <c r="P269" s="18" t="n"/>
      <c r="Q269" s="18" t="n"/>
      <c r="S269" s="15" t="n"/>
      <c r="T269" s="19" t="n"/>
      <c r="U269" s="15" t="n"/>
      <c r="V269" s="15" t="n"/>
      <c r="W269" s="15" t="n"/>
      <c r="Y269" s="36" t="n"/>
      <c r="Z269" s="36" t="n"/>
      <c r="AA269" s="36" t="n"/>
      <c r="AB269" s="35" t="n"/>
      <c r="AC269" s="38" t="n"/>
      <c r="AD269" s="38" t="n"/>
      <c r="AE269" s="38" t="n"/>
      <c r="AF269" s="38" t="n"/>
      <c r="AG269" s="15" t="n"/>
    </row>
    <row r="270">
      <c r="A270" s="14" t="n"/>
      <c r="D270" s="16" t="n"/>
      <c r="E270" s="17" t="n"/>
      <c r="G270" s="17" t="n"/>
      <c r="H270" s="15" t="n"/>
      <c r="K270" s="17" t="n"/>
      <c r="L270" s="17" t="n"/>
      <c r="O270" s="18" t="n"/>
      <c r="P270" s="18" t="n"/>
      <c r="Q270" s="18" t="n"/>
      <c r="S270" s="15" t="n"/>
      <c r="T270" s="19" t="n"/>
      <c r="U270" s="15" t="n"/>
      <c r="V270" s="15" t="n"/>
      <c r="W270" s="15" t="n"/>
      <c r="Y270" s="36" t="n"/>
      <c r="Z270" s="36" t="n"/>
      <c r="AA270" s="36" t="n"/>
      <c r="AB270" s="35" t="n"/>
      <c r="AC270" s="38" t="n"/>
      <c r="AD270" s="38" t="n"/>
      <c r="AE270" s="38" t="n"/>
      <c r="AF270" s="38" t="n"/>
      <c r="AG270" s="15" t="n"/>
    </row>
    <row r="271">
      <c r="A271" s="14" t="n"/>
      <c r="D271" s="16" t="n"/>
      <c r="E271" s="17" t="n"/>
      <c r="G271" s="17" t="n"/>
      <c r="H271" s="15" t="n"/>
      <c r="K271" s="17" t="n"/>
      <c r="L271" s="17" t="n"/>
      <c r="O271" s="18" t="n"/>
      <c r="P271" s="18" t="n"/>
      <c r="Q271" s="18" t="n"/>
      <c r="S271" s="15" t="n"/>
      <c r="T271" s="19" t="n"/>
      <c r="U271" s="15" t="n"/>
      <c r="V271" s="15" t="n"/>
      <c r="W271" s="15" t="n"/>
      <c r="Y271" s="36" t="n"/>
      <c r="Z271" s="36" t="n"/>
      <c r="AA271" s="36" t="n"/>
      <c r="AB271" s="35" t="n"/>
      <c r="AC271" s="38" t="n"/>
      <c r="AD271" s="38" t="n"/>
      <c r="AE271" s="38" t="n"/>
      <c r="AF271" s="38" t="n"/>
      <c r="AG271" s="15" t="n"/>
    </row>
    <row r="272">
      <c r="A272" s="14" t="n"/>
      <c r="D272" s="16" t="n"/>
      <c r="E272" s="17" t="n"/>
      <c r="G272" s="17" t="n"/>
      <c r="H272" s="15" t="n"/>
      <c r="K272" s="17" t="n"/>
      <c r="L272" s="17" t="n"/>
      <c r="O272" s="18" t="n"/>
      <c r="P272" s="18" t="n"/>
      <c r="Q272" s="18" t="n"/>
      <c r="S272" s="15" t="n"/>
      <c r="T272" s="19" t="n"/>
      <c r="U272" s="15" t="n"/>
      <c r="V272" s="15" t="n"/>
      <c r="W272" s="15" t="n"/>
      <c r="Y272" s="36" t="n"/>
      <c r="Z272" s="36" t="n"/>
      <c r="AA272" s="36" t="n"/>
      <c r="AB272" s="35" t="n"/>
      <c r="AC272" s="38" t="n"/>
      <c r="AD272" s="38" t="n"/>
      <c r="AE272" s="38" t="n"/>
      <c r="AF272" s="38" t="n"/>
      <c r="AG272" s="15" t="n"/>
    </row>
    <row r="273">
      <c r="A273" s="14" t="n"/>
      <c r="D273" s="16" t="n"/>
      <c r="E273" s="17" t="n"/>
      <c r="G273" s="17" t="n"/>
      <c r="H273" s="15" t="n"/>
      <c r="K273" s="17" t="n"/>
      <c r="L273" s="17" t="n"/>
      <c r="O273" s="18" t="n"/>
      <c r="P273" s="18" t="n"/>
      <c r="Q273" s="18" t="n"/>
      <c r="S273" s="15" t="n"/>
      <c r="T273" s="19" t="n"/>
      <c r="U273" s="15" t="n"/>
      <c r="V273" s="15" t="n"/>
      <c r="W273" s="15" t="n"/>
      <c r="Y273" s="36" t="n"/>
      <c r="Z273" s="36" t="n"/>
      <c r="AA273" s="36" t="n"/>
      <c r="AB273" s="35" t="n"/>
      <c r="AC273" s="38" t="n"/>
      <c r="AD273" s="38" t="n"/>
      <c r="AE273" s="38" t="n"/>
      <c r="AF273" s="38" t="n"/>
      <c r="AG273" s="15" t="n"/>
    </row>
    <row r="274">
      <c r="A274" s="14" t="n"/>
      <c r="D274" s="16" t="n"/>
      <c r="E274" s="17" t="n"/>
      <c r="G274" s="17" t="n"/>
      <c r="H274" s="15" t="n"/>
      <c r="K274" s="17" t="n"/>
      <c r="L274" s="17" t="n"/>
      <c r="O274" s="18" t="n"/>
      <c r="P274" s="18" t="n"/>
      <c r="Q274" s="18" t="n"/>
      <c r="S274" s="15" t="n"/>
      <c r="T274" s="19" t="n"/>
      <c r="U274" s="15" t="n"/>
      <c r="V274" s="15" t="n"/>
      <c r="W274" s="15" t="n"/>
      <c r="Y274" s="36" t="n"/>
      <c r="Z274" s="36" t="n"/>
      <c r="AA274" s="36" t="n"/>
      <c r="AB274" s="35" t="n"/>
      <c r="AC274" s="38" t="n"/>
      <c r="AD274" s="38" t="n"/>
      <c r="AE274" s="38" t="n"/>
      <c r="AF274" s="38" t="n"/>
      <c r="AG274" s="15" t="n"/>
    </row>
    <row r="275">
      <c r="A275" s="14" t="n"/>
      <c r="D275" s="16" t="n"/>
      <c r="E275" s="17" t="n"/>
      <c r="G275" s="17" t="n"/>
      <c r="H275" s="15" t="n"/>
      <c r="K275" s="17" t="n"/>
      <c r="L275" s="17" t="n"/>
      <c r="O275" s="18" t="n"/>
      <c r="P275" s="18" t="n"/>
      <c r="Q275" s="18" t="n"/>
      <c r="S275" s="15" t="n"/>
      <c r="T275" s="19" t="n"/>
      <c r="U275" s="15" t="n"/>
      <c r="V275" s="15" t="n"/>
      <c r="W275" s="15" t="n"/>
      <c r="Y275" s="36" t="n"/>
      <c r="Z275" s="36" t="n"/>
      <c r="AA275" s="36" t="n"/>
      <c r="AB275" s="35" t="n"/>
      <c r="AC275" s="38" t="n"/>
      <c r="AD275" s="38" t="n"/>
      <c r="AE275" s="38" t="n"/>
      <c r="AF275" s="38" t="n"/>
      <c r="AG275" s="15" t="n"/>
    </row>
    <row r="276">
      <c r="A276" s="14" t="n"/>
      <c r="D276" s="16" t="n"/>
      <c r="E276" s="17" t="n"/>
      <c r="G276" s="17" t="n"/>
      <c r="H276" s="15" t="n"/>
      <c r="K276" s="17" t="n"/>
      <c r="L276" s="17" t="n"/>
      <c r="O276" s="18" t="n"/>
      <c r="P276" s="18" t="n"/>
      <c r="Q276" s="18" t="n"/>
      <c r="S276" s="15" t="n"/>
      <c r="T276" s="19" t="n"/>
      <c r="U276" s="15" t="n"/>
      <c r="V276" s="15" t="n"/>
      <c r="W276" s="15" t="n"/>
      <c r="Y276" s="36" t="n"/>
      <c r="Z276" s="36" t="n"/>
      <c r="AA276" s="36" t="n"/>
      <c r="AB276" s="35" t="n"/>
      <c r="AC276" s="38" t="n"/>
      <c r="AD276" s="38" t="n"/>
      <c r="AE276" s="38" t="n"/>
      <c r="AF276" s="38" t="n"/>
      <c r="AG276" s="15" t="n"/>
    </row>
    <row r="277">
      <c r="A277" s="14" t="n"/>
      <c r="D277" s="16" t="n"/>
      <c r="E277" s="17" t="n"/>
      <c r="G277" s="17" t="n"/>
      <c r="H277" s="15" t="n"/>
      <c r="K277" s="17" t="n"/>
      <c r="L277" s="17" t="n"/>
      <c r="O277" s="18" t="n"/>
      <c r="P277" s="18" t="n"/>
      <c r="Q277" s="18" t="n"/>
      <c r="S277" s="15" t="n"/>
      <c r="T277" s="19" t="n"/>
      <c r="U277" s="15" t="n"/>
      <c r="V277" s="15" t="n"/>
      <c r="W277" s="15" t="n"/>
      <c r="Y277" s="36" t="n"/>
      <c r="Z277" s="36" t="n"/>
      <c r="AA277" s="36" t="n"/>
      <c r="AB277" s="35" t="n"/>
      <c r="AC277" s="38" t="n"/>
      <c r="AD277" s="38" t="n"/>
      <c r="AE277" s="38" t="n"/>
      <c r="AF277" s="38" t="n"/>
      <c r="AG277" s="15" t="n"/>
    </row>
    <row r="278">
      <c r="A278" s="14" t="n"/>
      <c r="D278" s="16" t="n"/>
      <c r="E278" s="17" t="n"/>
      <c r="G278" s="17" t="n"/>
      <c r="H278" s="15" t="n"/>
      <c r="K278" s="17" t="n"/>
      <c r="L278" s="17" t="n"/>
      <c r="O278" s="18" t="n"/>
      <c r="P278" s="18" t="n"/>
      <c r="Q278" s="18" t="n"/>
      <c r="S278" s="15" t="n"/>
      <c r="T278" s="19" t="n"/>
      <c r="U278" s="15" t="n"/>
      <c r="V278" s="15" t="n"/>
      <c r="W278" s="15" t="n"/>
      <c r="Y278" s="36" t="n"/>
      <c r="Z278" s="36" t="n"/>
      <c r="AA278" s="36" t="n"/>
      <c r="AB278" s="35" t="n"/>
      <c r="AC278" s="38" t="n"/>
      <c r="AD278" s="38" t="n"/>
      <c r="AE278" s="38" t="n"/>
      <c r="AF278" s="38" t="n"/>
      <c r="AG278" s="15" t="n"/>
    </row>
    <row r="279">
      <c r="A279" s="14" t="n"/>
      <c r="D279" s="16" t="n"/>
      <c r="E279" s="17" t="n"/>
      <c r="G279" s="17" t="n"/>
      <c r="H279" s="15" t="n"/>
      <c r="K279" s="17" t="n"/>
      <c r="L279" s="17" t="n"/>
      <c r="O279" s="18" t="n"/>
      <c r="P279" s="18" t="n"/>
      <c r="Q279" s="18" t="n"/>
      <c r="S279" s="15" t="n"/>
      <c r="T279" s="19" t="n"/>
      <c r="U279" s="15" t="n"/>
      <c r="V279" s="15" t="n"/>
      <c r="W279" s="15" t="n"/>
      <c r="Y279" s="36" t="n"/>
      <c r="Z279" s="36" t="n"/>
      <c r="AA279" s="36" t="n"/>
      <c r="AB279" s="35" t="n"/>
      <c r="AC279" s="38" t="n"/>
      <c r="AD279" s="38" t="n"/>
      <c r="AE279" s="38" t="n"/>
      <c r="AF279" s="38" t="n"/>
      <c r="AG279" s="15" t="n"/>
    </row>
    <row r="280">
      <c r="A280" s="14" t="n"/>
      <c r="D280" s="16" t="n"/>
      <c r="E280" s="17" t="n"/>
      <c r="G280" s="17" t="n"/>
      <c r="H280" s="15" t="n"/>
      <c r="K280" s="17" t="n"/>
      <c r="L280" s="17" t="n"/>
      <c r="O280" s="18" t="n"/>
      <c r="P280" s="18" t="n"/>
      <c r="Q280" s="18" t="n"/>
      <c r="S280" s="15" t="n"/>
      <c r="T280" s="19" t="n"/>
      <c r="U280" s="15" t="n"/>
      <c r="V280" s="15" t="n"/>
      <c r="W280" s="15" t="n"/>
      <c r="Y280" s="36" t="n"/>
      <c r="Z280" s="36" t="n"/>
      <c r="AA280" s="36" t="n"/>
      <c r="AB280" s="35" t="n"/>
      <c r="AC280" s="38" t="n"/>
      <c r="AD280" s="38" t="n"/>
      <c r="AE280" s="38" t="n"/>
      <c r="AF280" s="38" t="n"/>
      <c r="AG280" s="15" t="n"/>
    </row>
    <row r="281">
      <c r="A281" s="14" t="n"/>
      <c r="D281" s="16" t="n"/>
      <c r="E281" s="17" t="n"/>
      <c r="G281" s="17" t="n"/>
      <c r="H281" s="15" t="n"/>
      <c r="K281" s="17" t="n"/>
      <c r="L281" s="17" t="n"/>
      <c r="O281" s="18" t="n"/>
      <c r="P281" s="18" t="n"/>
      <c r="Q281" s="18" t="n"/>
      <c r="S281" s="15" t="n"/>
      <c r="T281" s="19" t="n"/>
      <c r="U281" s="15" t="n"/>
      <c r="V281" s="15" t="n"/>
      <c r="W281" s="15" t="n"/>
      <c r="Y281" s="36" t="n"/>
      <c r="Z281" s="36" t="n"/>
      <c r="AA281" s="36" t="n"/>
      <c r="AB281" s="35" t="n"/>
      <c r="AC281" s="38" t="n"/>
      <c r="AD281" s="38" t="n"/>
      <c r="AE281" s="38" t="n"/>
      <c r="AF281" s="38" t="n"/>
      <c r="AG281" s="15" t="n"/>
    </row>
    <row r="282">
      <c r="A282" s="14" t="n"/>
      <c r="D282" s="16" t="n"/>
      <c r="E282" s="17" t="n"/>
      <c r="G282" s="17" t="n"/>
      <c r="H282" s="15" t="n"/>
      <c r="K282" s="17" t="n"/>
      <c r="L282" s="17" t="n"/>
      <c r="O282" s="18" t="n"/>
      <c r="P282" s="18" t="n"/>
      <c r="Q282" s="18" t="n"/>
      <c r="S282" s="15" t="n"/>
      <c r="T282" s="19" t="n"/>
      <c r="U282" s="15" t="n"/>
      <c r="V282" s="15" t="n"/>
      <c r="W282" s="15" t="n"/>
      <c r="Y282" s="36" t="n"/>
      <c r="Z282" s="36" t="n"/>
      <c r="AA282" s="36" t="n"/>
      <c r="AB282" s="35" t="n"/>
      <c r="AC282" s="38" t="n"/>
      <c r="AD282" s="38" t="n"/>
      <c r="AE282" s="38" t="n"/>
      <c r="AF282" s="38" t="n"/>
      <c r="AG282" s="15" t="n"/>
    </row>
    <row r="283">
      <c r="A283" s="14" t="n"/>
      <c r="D283" s="16" t="n"/>
      <c r="E283" s="17" t="n"/>
      <c r="G283" s="17" t="n"/>
      <c r="H283" s="15" t="n"/>
      <c r="K283" s="17" t="n"/>
      <c r="L283" s="17" t="n"/>
      <c r="O283" s="18" t="n"/>
      <c r="P283" s="18" t="n"/>
      <c r="Q283" s="18" t="n"/>
      <c r="S283" s="15" t="n"/>
      <c r="T283" s="19" t="n"/>
      <c r="U283" s="15" t="n"/>
      <c r="V283" s="15" t="n"/>
      <c r="W283" s="15" t="n"/>
      <c r="Y283" s="36" t="n"/>
      <c r="Z283" s="36" t="n"/>
      <c r="AA283" s="36" t="n"/>
      <c r="AB283" s="35" t="n"/>
      <c r="AC283" s="38" t="n"/>
      <c r="AD283" s="38" t="n"/>
      <c r="AE283" s="38" t="n"/>
      <c r="AF283" s="38" t="n"/>
      <c r="AG283" s="15" t="n"/>
    </row>
    <row r="284">
      <c r="A284" s="14" t="n"/>
      <c r="D284" s="16" t="n"/>
      <c r="E284" s="17" t="n"/>
      <c r="G284" s="17" t="n"/>
      <c r="H284" s="15" t="n"/>
      <c r="K284" s="17" t="n"/>
      <c r="L284" s="17" t="n"/>
      <c r="O284" s="18" t="n"/>
      <c r="P284" s="18" t="n"/>
      <c r="Q284" s="18" t="n"/>
      <c r="S284" s="15" t="n"/>
      <c r="T284" s="19" t="n"/>
      <c r="U284" s="15" t="n"/>
      <c r="V284" s="15" t="n"/>
      <c r="W284" s="15" t="n"/>
      <c r="Y284" s="36" t="n"/>
      <c r="Z284" s="36" t="n"/>
      <c r="AA284" s="36" t="n"/>
      <c r="AB284" s="35" t="n"/>
      <c r="AC284" s="38" t="n"/>
      <c r="AD284" s="38" t="n"/>
      <c r="AE284" s="38" t="n"/>
      <c r="AF284" s="38" t="n"/>
      <c r="AG284" s="15" t="n"/>
    </row>
    <row r="285">
      <c r="A285" s="14" t="n"/>
      <c r="D285" s="16" t="n"/>
      <c r="E285" s="17" t="n"/>
      <c r="G285" s="17" t="n"/>
      <c r="H285" s="15" t="n"/>
      <c r="K285" s="17" t="n"/>
      <c r="L285" s="17" t="n"/>
      <c r="O285" s="18" t="n"/>
      <c r="P285" s="18" t="n"/>
      <c r="Q285" s="18" t="n"/>
      <c r="S285" s="15" t="n"/>
      <c r="T285" s="19" t="n"/>
      <c r="U285" s="15" t="n"/>
      <c r="V285" s="15" t="n"/>
      <c r="W285" s="15" t="n"/>
      <c r="Y285" s="36" t="n"/>
      <c r="Z285" s="36" t="n"/>
      <c r="AA285" s="36" t="n"/>
      <c r="AB285" s="35" t="n"/>
      <c r="AC285" s="38" t="n"/>
      <c r="AD285" s="38" t="n"/>
      <c r="AE285" s="38" t="n"/>
      <c r="AF285" s="38" t="n"/>
      <c r="AG285" s="15" t="n"/>
    </row>
    <row r="286">
      <c r="A286" s="14" t="n"/>
      <c r="D286" s="16" t="n"/>
      <c r="E286" s="17" t="n"/>
      <c r="G286" s="17" t="n"/>
      <c r="H286" s="15" t="n"/>
      <c r="K286" s="17" t="n"/>
      <c r="L286" s="17" t="n"/>
      <c r="O286" s="18" t="n"/>
      <c r="P286" s="18" t="n"/>
      <c r="Q286" s="18" t="n"/>
      <c r="S286" s="15" t="n"/>
      <c r="T286" s="19" t="n"/>
      <c r="U286" s="15" t="n"/>
      <c r="V286" s="15" t="n"/>
      <c r="W286" s="15" t="n"/>
      <c r="Y286" s="36" t="n"/>
      <c r="Z286" s="36" t="n"/>
      <c r="AA286" s="36" t="n"/>
      <c r="AB286" s="35" t="n"/>
      <c r="AC286" s="38" t="n"/>
      <c r="AD286" s="38" t="n"/>
      <c r="AE286" s="38" t="n"/>
      <c r="AF286" s="38" t="n"/>
      <c r="AG286" s="15" t="n"/>
    </row>
    <row r="287">
      <c r="A287" s="14" t="n"/>
      <c r="D287" s="16" t="n"/>
      <c r="E287" s="17" t="n"/>
      <c r="G287" s="17" t="n"/>
      <c r="H287" s="15" t="n"/>
      <c r="K287" s="17" t="n"/>
      <c r="L287" s="17" t="n"/>
      <c r="O287" s="18" t="n"/>
      <c r="P287" s="18" t="n"/>
      <c r="Q287" s="18" t="n"/>
      <c r="S287" s="15" t="n"/>
      <c r="T287" s="19" t="n"/>
      <c r="U287" s="15" t="n"/>
      <c r="V287" s="15" t="n"/>
      <c r="W287" s="15" t="n"/>
      <c r="Y287" s="36" t="n"/>
      <c r="Z287" s="36" t="n"/>
      <c r="AA287" s="36" t="n"/>
      <c r="AB287" s="35" t="n"/>
      <c r="AC287" s="38" t="n"/>
      <c r="AD287" s="38" t="n"/>
      <c r="AE287" s="38" t="n"/>
      <c r="AF287" s="38" t="n"/>
      <c r="AG287" s="15" t="n"/>
    </row>
    <row r="288">
      <c r="A288" s="14" t="n"/>
      <c r="D288" s="16" t="n"/>
      <c r="E288" s="17" t="n"/>
      <c r="G288" s="17" t="n"/>
      <c r="H288" s="15" t="n"/>
      <c r="K288" s="17" t="n"/>
      <c r="L288" s="17" t="n"/>
      <c r="O288" s="18" t="n"/>
      <c r="P288" s="18" t="n"/>
      <c r="Q288" s="18" t="n"/>
      <c r="S288" s="15" t="n"/>
      <c r="T288" s="19" t="n"/>
      <c r="U288" s="15" t="n"/>
      <c r="V288" s="15" t="n"/>
      <c r="W288" s="15" t="n"/>
      <c r="Y288" s="36" t="n"/>
      <c r="Z288" s="36" t="n"/>
      <c r="AA288" s="36" t="n"/>
      <c r="AB288" s="35" t="n"/>
      <c r="AC288" s="38" t="n"/>
      <c r="AD288" s="38" t="n"/>
      <c r="AE288" s="38" t="n"/>
      <c r="AF288" s="38" t="n"/>
      <c r="AG288" s="15" t="n"/>
    </row>
    <row r="289">
      <c r="A289" s="14" t="n"/>
      <c r="D289" s="16" t="n"/>
      <c r="E289" s="17" t="n"/>
      <c r="G289" s="17" t="n"/>
      <c r="H289" s="15" t="n"/>
      <c r="K289" s="17" t="n"/>
      <c r="L289" s="17" t="n"/>
      <c r="O289" s="18" t="n"/>
      <c r="P289" s="18" t="n"/>
      <c r="Q289" s="18" t="n"/>
      <c r="S289" s="15" t="n"/>
      <c r="T289" s="19" t="n"/>
      <c r="U289" s="15" t="n"/>
      <c r="V289" s="15" t="n"/>
      <c r="W289" s="15" t="n"/>
      <c r="Y289" s="36" t="n"/>
      <c r="Z289" s="36" t="n"/>
      <c r="AA289" s="36" t="n"/>
      <c r="AB289" s="35" t="n"/>
      <c r="AC289" s="38" t="n"/>
      <c r="AD289" s="38" t="n"/>
      <c r="AE289" s="38" t="n"/>
      <c r="AF289" s="38" t="n"/>
      <c r="AG289" s="15" t="n"/>
    </row>
    <row r="290">
      <c r="A290" s="14" t="n"/>
      <c r="D290" s="16" t="n"/>
      <c r="E290" s="17" t="n"/>
      <c r="G290" s="17" t="n"/>
      <c r="H290" s="15" t="n"/>
      <c r="K290" s="17" t="n"/>
      <c r="L290" s="17" t="n"/>
      <c r="O290" s="18" t="n"/>
      <c r="P290" s="18" t="n"/>
      <c r="Q290" s="18" t="n"/>
      <c r="S290" s="15" t="n"/>
      <c r="T290" s="19" t="n"/>
      <c r="U290" s="15" t="n"/>
      <c r="V290" s="15" t="n"/>
      <c r="W290" s="15" t="n"/>
      <c r="Y290" s="36" t="n"/>
      <c r="Z290" s="36" t="n"/>
      <c r="AA290" s="36" t="n"/>
      <c r="AB290" s="35" t="n"/>
      <c r="AC290" s="38" t="n"/>
      <c r="AD290" s="38" t="n"/>
      <c r="AE290" s="38" t="n"/>
      <c r="AF290" s="38" t="n"/>
      <c r="AG290" s="15" t="n"/>
    </row>
    <row r="291">
      <c r="A291" s="14" t="n"/>
      <c r="D291" s="16" t="n"/>
      <c r="E291" s="17" t="n"/>
      <c r="G291" s="17" t="n"/>
      <c r="H291" s="15" t="n"/>
      <c r="K291" s="17" t="n"/>
      <c r="L291" s="17" t="n"/>
      <c r="O291" s="18" t="n"/>
      <c r="P291" s="18" t="n"/>
      <c r="Q291" s="18" t="n"/>
      <c r="S291" s="15" t="n"/>
      <c r="T291" s="19" t="n"/>
      <c r="U291" s="15" t="n"/>
      <c r="V291" s="15" t="n"/>
      <c r="W291" s="15" t="n"/>
      <c r="Y291" s="36" t="n"/>
      <c r="Z291" s="36" t="n"/>
      <c r="AA291" s="36" t="n"/>
      <c r="AB291" s="35" t="n"/>
      <c r="AC291" s="38" t="n"/>
      <c r="AD291" s="38" t="n"/>
      <c r="AE291" s="38" t="n"/>
      <c r="AF291" s="38" t="n"/>
      <c r="AG291" s="15" t="n"/>
    </row>
    <row r="292">
      <c r="A292" s="14" t="n"/>
      <c r="D292" s="16" t="n"/>
      <c r="E292" s="17" t="n"/>
      <c r="G292" s="17" t="n"/>
      <c r="H292" s="15" t="n"/>
      <c r="K292" s="17" t="n"/>
      <c r="L292" s="17" t="n"/>
      <c r="O292" s="18" t="n"/>
      <c r="P292" s="18" t="n"/>
      <c r="Q292" s="18" t="n"/>
      <c r="S292" s="15" t="n"/>
      <c r="T292" s="19" t="n"/>
      <c r="U292" s="15" t="n"/>
      <c r="V292" s="15" t="n"/>
      <c r="W292" s="15" t="n"/>
      <c r="Y292" s="36" t="n"/>
      <c r="Z292" s="36" t="n"/>
      <c r="AA292" s="36" t="n"/>
      <c r="AB292" s="35" t="n"/>
      <c r="AC292" s="38" t="n"/>
      <c r="AD292" s="38" t="n"/>
      <c r="AE292" s="38" t="n"/>
      <c r="AF292" s="38" t="n"/>
      <c r="AG292" s="15" t="n"/>
    </row>
    <row r="293">
      <c r="A293" s="14" t="n"/>
      <c r="D293" s="16" t="n"/>
      <c r="E293" s="17" t="n"/>
      <c r="G293" s="17" t="n"/>
      <c r="H293" s="15" t="n"/>
      <c r="K293" s="17" t="n"/>
      <c r="L293" s="17" t="n"/>
      <c r="O293" s="18" t="n"/>
      <c r="P293" s="18" t="n"/>
      <c r="Q293" s="18" t="n"/>
      <c r="S293" s="15" t="n"/>
      <c r="T293" s="19" t="n"/>
      <c r="U293" s="15" t="n"/>
      <c r="V293" s="15" t="n"/>
      <c r="W293" s="15" t="n"/>
      <c r="Y293" s="36" t="n"/>
      <c r="Z293" s="36" t="n"/>
      <c r="AA293" s="36" t="n"/>
      <c r="AB293" s="35" t="n"/>
      <c r="AC293" s="38" t="n"/>
      <c r="AD293" s="38" t="n"/>
      <c r="AE293" s="38" t="n"/>
      <c r="AF293" s="38" t="n"/>
      <c r="AG293" s="15" t="n"/>
    </row>
    <row r="294">
      <c r="A294" s="14" t="n"/>
      <c r="D294" s="16" t="n"/>
      <c r="E294" s="17" t="n"/>
      <c r="G294" s="17" t="n"/>
      <c r="H294" s="15" t="n"/>
      <c r="K294" s="17" t="n"/>
      <c r="L294" s="17" t="n"/>
      <c r="O294" s="18" t="n"/>
      <c r="P294" s="18" t="n"/>
      <c r="Q294" s="18" t="n"/>
      <c r="S294" s="15" t="n"/>
      <c r="T294" s="19" t="n"/>
      <c r="U294" s="15" t="n"/>
      <c r="V294" s="15" t="n"/>
      <c r="W294" s="15" t="n"/>
      <c r="Y294" s="36" t="n"/>
      <c r="Z294" s="36" t="n"/>
      <c r="AA294" s="36" t="n"/>
      <c r="AB294" s="35" t="n"/>
      <c r="AC294" s="38" t="n"/>
      <c r="AD294" s="38" t="n"/>
      <c r="AE294" s="38" t="n"/>
      <c r="AF294" s="38" t="n"/>
      <c r="AG294" s="15" t="n"/>
    </row>
    <row r="295">
      <c r="A295" s="14" t="n"/>
      <c r="D295" s="16" t="n"/>
      <c r="E295" s="17" t="n"/>
      <c r="G295" s="17" t="n"/>
      <c r="H295" s="15" t="n"/>
      <c r="K295" s="17" t="n"/>
      <c r="L295" s="17" t="n"/>
      <c r="O295" s="18" t="n"/>
      <c r="P295" s="18" t="n"/>
      <c r="Q295" s="18" t="n"/>
      <c r="S295" s="15" t="n"/>
      <c r="T295" s="19" t="n"/>
      <c r="U295" s="15" t="n"/>
      <c r="V295" s="15" t="n"/>
      <c r="W295" s="15" t="n"/>
      <c r="Y295" s="36" t="n"/>
      <c r="Z295" s="36" t="n"/>
      <c r="AA295" s="36" t="n"/>
      <c r="AB295" s="35" t="n"/>
      <c r="AC295" s="38" t="n"/>
      <c r="AD295" s="38" t="n"/>
      <c r="AE295" s="38" t="n"/>
      <c r="AF295" s="38" t="n"/>
      <c r="AG295" s="15" t="n"/>
    </row>
    <row r="296">
      <c r="A296" s="14" t="n"/>
      <c r="D296" s="16" t="n"/>
      <c r="E296" s="17" t="n"/>
      <c r="G296" s="17" t="n"/>
      <c r="H296" s="15" t="n"/>
      <c r="K296" s="17" t="n"/>
      <c r="L296" s="17" t="n"/>
      <c r="O296" s="18" t="n"/>
      <c r="P296" s="18" t="n"/>
      <c r="Q296" s="18" t="n"/>
      <c r="S296" s="15" t="n"/>
      <c r="T296" s="19" t="n"/>
      <c r="U296" s="15" t="n"/>
      <c r="V296" s="15" t="n"/>
      <c r="W296" s="15" t="n"/>
      <c r="Y296" s="36" t="n"/>
      <c r="Z296" s="36" t="n"/>
      <c r="AA296" s="36" t="n"/>
      <c r="AB296" s="35" t="n"/>
      <c r="AC296" s="38" t="n"/>
      <c r="AD296" s="38" t="n"/>
      <c r="AE296" s="38" t="n"/>
      <c r="AF296" s="38" t="n"/>
      <c r="AG296" s="15" t="n"/>
    </row>
    <row r="297">
      <c r="A297" s="14" t="n"/>
      <c r="D297" s="16" t="n"/>
      <c r="E297" s="17" t="n"/>
      <c r="G297" s="17" t="n"/>
      <c r="H297" s="15" t="n"/>
      <c r="K297" s="17" t="n"/>
      <c r="L297" s="17" t="n"/>
      <c r="O297" s="18" t="n"/>
      <c r="P297" s="18" t="n"/>
      <c r="Q297" s="18" t="n"/>
      <c r="S297" s="15" t="n"/>
      <c r="T297" s="19" t="n"/>
      <c r="U297" s="15" t="n"/>
      <c r="V297" s="15" t="n"/>
      <c r="W297" s="15" t="n"/>
      <c r="Y297" s="36" t="n"/>
      <c r="Z297" s="36" t="n"/>
      <c r="AA297" s="36" t="n"/>
      <c r="AB297" s="35" t="n"/>
      <c r="AC297" s="38" t="n"/>
      <c r="AD297" s="38" t="n"/>
      <c r="AE297" s="38" t="n"/>
      <c r="AF297" s="38" t="n"/>
      <c r="AG297" s="15" t="n"/>
    </row>
    <row r="298">
      <c r="A298" s="14" t="n"/>
      <c r="D298" s="16" t="n"/>
      <c r="E298" s="17" t="n"/>
      <c r="G298" s="17" t="n"/>
      <c r="H298" s="15" t="n"/>
      <c r="K298" s="17" t="n"/>
      <c r="L298" s="17" t="n"/>
      <c r="O298" s="18" t="n"/>
      <c r="P298" s="18" t="n"/>
      <c r="Q298" s="18" t="n"/>
      <c r="S298" s="15" t="n"/>
      <c r="T298" s="19" t="n"/>
      <c r="U298" s="15" t="n"/>
      <c r="V298" s="15" t="n"/>
      <c r="W298" s="15" t="n"/>
      <c r="Y298" s="36" t="n"/>
      <c r="Z298" s="36" t="n"/>
      <c r="AA298" s="36" t="n"/>
      <c r="AB298" s="35" t="n"/>
      <c r="AC298" s="38" t="n"/>
      <c r="AD298" s="38" t="n"/>
      <c r="AE298" s="38" t="n"/>
      <c r="AF298" s="38" t="n"/>
      <c r="AG298" s="15" t="n"/>
    </row>
    <row r="299">
      <c r="A299" s="14" t="n"/>
      <c r="D299" s="16" t="n"/>
      <c r="E299" s="17" t="n"/>
      <c r="G299" s="17" t="n"/>
      <c r="H299" s="15" t="n"/>
      <c r="K299" s="17" t="n"/>
      <c r="L299" s="17" t="n"/>
      <c r="O299" s="18" t="n"/>
      <c r="P299" s="18" t="n"/>
      <c r="Q299" s="18" t="n"/>
      <c r="S299" s="15" t="n"/>
      <c r="T299" s="19" t="n"/>
      <c r="U299" s="15" t="n"/>
      <c r="V299" s="15" t="n"/>
      <c r="W299" s="15" t="n"/>
      <c r="Y299" s="36" t="n"/>
      <c r="Z299" s="36" t="n"/>
      <c r="AA299" s="36" t="n"/>
      <c r="AB299" s="35" t="n"/>
      <c r="AC299" s="38" t="n"/>
      <c r="AD299" s="38" t="n"/>
      <c r="AE299" s="38" t="n"/>
      <c r="AF299" s="38" t="n"/>
      <c r="AG299" s="15" t="n"/>
    </row>
    <row r="300">
      <c r="A300" s="14" t="n"/>
      <c r="D300" s="16" t="n"/>
      <c r="E300" s="17" t="n"/>
      <c r="G300" s="17" t="n"/>
      <c r="H300" s="15" t="n"/>
      <c r="K300" s="17" t="n"/>
      <c r="L300" s="17" t="n"/>
      <c r="O300" s="18" t="n"/>
      <c r="P300" s="18" t="n"/>
      <c r="Q300" s="18" t="n"/>
      <c r="S300" s="15" t="n"/>
      <c r="T300" s="19" t="n"/>
      <c r="U300" s="15" t="n"/>
      <c r="V300" s="15" t="n"/>
      <c r="W300" s="15" t="n"/>
      <c r="Y300" s="36" t="n"/>
      <c r="Z300" s="36" t="n"/>
      <c r="AA300" s="36" t="n"/>
      <c r="AB300" s="35" t="n"/>
      <c r="AC300" s="38" t="n"/>
      <c r="AD300" s="38" t="n"/>
      <c r="AE300" s="38" t="n"/>
      <c r="AF300" s="38" t="n"/>
      <c r="AG300" s="15" t="n"/>
    </row>
    <row r="301">
      <c r="A301" s="14" t="n"/>
    </row>
    <row r="308">
      <c r="Y308" s="39" t="n"/>
      <c r="Z308" s="39" t="n"/>
      <c r="AA308" s="39" t="n"/>
      <c r="AB308" s="39" t="n"/>
      <c r="AC308" s="40" t="n"/>
    </row>
    <row r="312">
      <c r="P312" s="41" t="n"/>
      <c r="Q312" s="41" t="n"/>
    </row>
    <row r="313">
      <c r="P313" s="41" t="n"/>
      <c r="Q313" s="41" t="n"/>
    </row>
    <row r="314">
      <c r="P314" s="41" t="n"/>
      <c r="Q314" s="41" t="n"/>
    </row>
    <row r="315">
      <c r="P315" s="41" t="n"/>
      <c r="Q315" s="41" t="n"/>
    </row>
    <row r="316">
      <c r="P316" s="41" t="n"/>
      <c r="Q316" s="41" t="n"/>
    </row>
    <row r="317">
      <c r="P317" s="41" t="n"/>
      <c r="Q317" s="41" t="n"/>
    </row>
    <row r="318">
      <c r="P318" s="41" t="n"/>
      <c r="Q318" s="41" t="n"/>
    </row>
    <row r="319">
      <c r="P319" s="41" t="n"/>
      <c r="Q319" s="41" t="n"/>
    </row>
    <row r="320">
      <c r="P320" s="41" t="n"/>
      <c r="Q320" s="41" t="n"/>
    </row>
    <row r="321">
      <c r="P321" s="41" t="n"/>
      <c r="Q321" s="41" t="n"/>
    </row>
    <row r="322">
      <c r="P322" s="41" t="n"/>
      <c r="Q322" s="41" t="n"/>
    </row>
    <row r="323">
      <c r="P323" s="41" t="n"/>
      <c r="Q323" s="41" t="n"/>
    </row>
    <row r="324">
      <c r="P324" s="41" t="n"/>
      <c r="Q324" s="41" t="n"/>
    </row>
    <row r="325">
      <c r="P325" s="41" t="n"/>
      <c r="Q325" s="41" t="n"/>
    </row>
    <row r="326">
      <c r="P326" s="41" t="n"/>
      <c r="Q326" s="41" t="n"/>
    </row>
    <row r="327">
      <c r="P327" s="41" t="n"/>
      <c r="Q327" s="41" t="n"/>
    </row>
    <row r="328">
      <c r="P328" s="41" t="n"/>
      <c r="Q328" s="41" t="n"/>
    </row>
    <row r="329">
      <c r="P329" s="41" t="n"/>
      <c r="Q329" s="41" t="n"/>
    </row>
    <row r="330">
      <c r="P330" s="41" t="n"/>
      <c r="Q330" s="41" t="n"/>
    </row>
    <row r="331">
      <c r="P331" s="41" t="n"/>
      <c r="Q331" s="41" t="n"/>
    </row>
    <row r="332">
      <c r="P332" s="41" t="n"/>
      <c r="Q332" s="41" t="n"/>
    </row>
    <row r="333">
      <c r="P333" s="41" t="n"/>
      <c r="Q333" s="41" t="n"/>
    </row>
    <row r="334">
      <c r="P334" s="41" t="n"/>
      <c r="Q334" s="41" t="n"/>
    </row>
    <row r="335">
      <c r="P335" s="41" t="n"/>
      <c r="Q335" s="41" t="n"/>
    </row>
    <row r="336">
      <c r="A336" s="42" t="n">
        <v>46122</v>
      </c>
      <c r="B336" t="inlineStr">
        <is>
          <t>PIRATES</t>
        </is>
      </c>
      <c r="C336">
        <f>VLOOKUP(B336, 'MLB Data'!$B$5:$D$34, 3, FALSE)</f>
        <v/>
      </c>
      <c r="D336" t="inlineStr">
        <is>
          <t>CARMEN MLODZINSKI</t>
        </is>
      </c>
      <c r="E336" t="n">
        <v>1.29</v>
      </c>
      <c r="F336" s="17">
        <f>VLOOKUP(B336, 'MLB Data'!$F$2:$H$34, 3, FALSE)</f>
        <v/>
      </c>
      <c r="G336" s="17">
        <f>IF((E336*0.6+F336*0.4)&lt;2.5, 2.8, IF((E336*0.6+F336*0.4)&gt;5.5, 5.2, (E336*0.6+F336*0.4)))</f>
        <v/>
      </c>
      <c r="H336" t="inlineStr">
        <is>
          <t>CUBS</t>
        </is>
      </c>
      <c r="I336">
        <f>VLOOKUP(H336, 'MLB Data'!$B$5:$D$34, 3, FALSE)</f>
        <v/>
      </c>
      <c r="J336" t="inlineStr">
        <is>
          <t>SHOTA IMANAGA</t>
        </is>
      </c>
      <c r="K336" t="n">
        <v>3.18</v>
      </c>
      <c r="L336" s="17">
        <f>VLOOKUP(H336, 'MLB Data'!$F$2:$H$34, 3, FALSE)</f>
        <v/>
      </c>
      <c r="M336" s="17">
        <f>IF((K336*0.6+L336*0.4)&lt;2.5, 2.8, IF((K336*0.6+L336*0.4)&gt;5.5, 5.2, (K336*0.6+L336*0.4)))</f>
        <v/>
      </c>
      <c r="O336" s="18">
        <f>(C336/100) * 4.1 * (M336 / 4.2) * T336</f>
        <v/>
      </c>
      <c r="P336" s="18">
        <f>(I336/100) * 4.05 * (G336 / 4.2) * T336</f>
        <v/>
      </c>
      <c r="Q336" s="18">
        <f>(O336+P336)</f>
        <v/>
      </c>
      <c r="S336" s="15">
        <f>H336</f>
        <v/>
      </c>
      <c r="T336" s="19">
        <f>IF(S336="ROCKIES",1.13,IF(S336="ATHLETICS",1.03,IF(S336="ROYALS",1.03,IF(S336="TWINS",1,IF(S336="TIGERS",1,IF(S336="MARLINS",1.01,IF(S336="REDS",1.05,IF(S336="RED SOX",1.04,IF(S336="YANKEES",1.02,IF(S336="DODGERS",0.99,IF(S336="PADRES",0.96,IF(S336="CUBS",0.98,IF(S336="GIANTS",0.97,IF(S336="MARINERS",0.94,IF(S336="RANGERS",1,IF(S336="ASTROS",0.99,IF(S336="BRAVES",1,IF(S336="METS",0.96,IF(S336="PHILLIES",1.02,IF(S336="BLUE JAYS",1.01,IF(S336="ORIOLES",0.99,IF(S336="RAYS",1.01,IF(S336="GUARDIANS",0.99,IF(S336="WHITE SOX",0.98,IF(S336="ANGELS",1.01,IF(S336="D-BACKS",1.01,IF(S336="BREWERS",0.99,IF(S336="CARDINALS",0.96,IF(S336="PIRATES",1.02,IF(S336="NATIONALS",1,1))))))))))))))))))))))))))))))*IF(W336="",1,(1+((W336-70)/10*0.035)))*IF(U336="DOME",1,IF(U336="IN",1-(V336*0.01),IF(U336="OUT",1+(V336*0.01),IF(OR(U336="L-R",U336="R-L"),1+(V336*0.005),1))))</f>
        <v/>
      </c>
      <c r="U336" t="inlineStr">
        <is>
          <t>NE</t>
        </is>
      </c>
      <c r="V336" t="n">
        <v>10</v>
      </c>
      <c r="W336" t="n">
        <v>47</v>
      </c>
      <c r="Y336">
        <f>B336 &amp; " vs. " &amp; H336</f>
        <v/>
      </c>
      <c r="Z336">
        <f>TRIM(LEFT(Y336, FIND("vs.", Y336)-1))</f>
        <v/>
      </c>
      <c r="AA336">
        <f>TRIM(MID(Y336, FIND(" vs. ", Y336)+4, 100))</f>
        <v/>
      </c>
      <c r="AB336" s="35">
        <f>IF(Q336 &gt; VALUE(AC336), "O " &amp; AC336, IF(Q336 &lt; VALUE(AC336), "U " &amp; AC336, AC336))</f>
        <v/>
      </c>
      <c r="AC336" s="15">
        <f>IF(OR(O336="-", P336="-"), "-", MROUND(O336 + P336, 0.5))</f>
        <v/>
      </c>
      <c r="AD336" s="15">
        <f>VALUE(TRIM(RIGHT(AF336, LEN(AF336) - FIND(" ", AF336))))</f>
        <v/>
      </c>
      <c r="AE336" s="15">
        <f>LEFT(AF336,FIND(" ",AF336)-1)</f>
        <v/>
      </c>
      <c r="AF336" s="15">
        <f>IF(OR(O336="-", P336="-"), "-",
IF(MROUND(ABS(O336-P336),0.5)&lt;=0.5,
IF(O336&gt;P336, B336 &amp; " ML", H336 &amp; " ML"),
IF(MROUND(ABS(O336-P336),0.5)=1,
IF(O336&gt;P336, H336 &amp; " +1.5", B336 &amp; " +1.5"),
IF(O336&gt;P336, B336 &amp; " -1.5", H336 &amp; " -1.5")
)
)
)</f>
        <v/>
      </c>
      <c r="AG336" s="15">
        <f>_xlfn.LET(
_xlpm.winA, O336^1.83 / (O336^1.83 + P336^1.83),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37">
      <c r="A337" s="42" t="n">
        <v>46122</v>
      </c>
      <c r="B337" t="inlineStr">
        <is>
          <t>D-BACKS</t>
        </is>
      </c>
      <c r="C337">
        <f>VLOOKUP(B337, 'MLB Data'!$B$5:$D$34, 3, FALSE)</f>
        <v/>
      </c>
      <c r="D337" t="inlineStr">
        <is>
          <t>MICHAEL SOROKA</t>
        </is>
      </c>
      <c r="E337" t="n">
        <v>2.08</v>
      </c>
      <c r="F337" s="17">
        <f>VLOOKUP(B337, 'MLB Data'!$F$2:$H$34, 3, FALSE)</f>
        <v/>
      </c>
      <c r="G337" s="17">
        <f>IF((E337*0.6+F337*0.4)&lt;2.5, 2.8, IF((E337*0.6+F337*0.4)&gt;5.5, 5.2, (E337*0.6+F337*0.4)))</f>
        <v/>
      </c>
      <c r="H337" t="inlineStr">
        <is>
          <t>PHILLIES</t>
        </is>
      </c>
      <c r="I337">
        <f>VLOOKUP(H337, 'MLB Data'!$B$5:$D$34, 3, FALSE)</f>
        <v/>
      </c>
      <c r="J337" t="inlineStr">
        <is>
          <t>JESÚS LUZARDO</t>
        </is>
      </c>
      <c r="K337" t="n">
        <v>2.63</v>
      </c>
      <c r="L337" s="17">
        <f>VLOOKUP(H337, 'MLB Data'!$F$2:$H$34, 3, FALSE)</f>
        <v/>
      </c>
      <c r="M337" s="17">
        <f>IF((K337*0.6+L337*0.4)&lt;2.5, 2.8, IF((K337*0.6+L337*0.4)&gt;5.5, 5.2, (K337*0.6+L337*0.4)))</f>
        <v/>
      </c>
      <c r="O337" s="18">
        <f>(C337/100) * 4.1 * (M337 / 4.2) * T337</f>
        <v/>
      </c>
      <c r="P337" s="18">
        <f>(I337/100) * 4.05 * (G337 / 4.2) * T337</f>
        <v/>
      </c>
      <c r="Q337" s="18">
        <f>(O337+P337)</f>
        <v/>
      </c>
      <c r="S337" s="15">
        <f>H337</f>
        <v/>
      </c>
      <c r="T337" s="19">
        <f>IF(S337="ROCKIES",1.13,IF(S337="ATHLETICS",1.03,IF(S337="ROYALS",1.03,IF(S337="TWINS",1,IF(S337="TIGERS",1,IF(S337="MARLINS",1.01,IF(S337="REDS",1.05,IF(S337="RED SOX",1.04,IF(S337="YANKEES",1.02,IF(S337="DODGERS",0.99,IF(S337="PADRES",0.96,IF(S337="CUBS",0.98,IF(S337="GIANTS",0.97,IF(S337="MARINERS",0.94,IF(S337="RANGERS",1,IF(S337="ASTROS",0.99,IF(S337="BRAVES",1,IF(S337="METS",0.96,IF(S337="PHILLIES",1.02,IF(S337="BLUE JAYS",1.01,IF(S337="ORIOLES",0.99,IF(S337="RAYS",1.01,IF(S337="GUARDIANS",0.99,IF(S337="WHITE SOX",0.98,IF(S337="ANGELS",1.01,IF(S337="D-BACKS",1.01,IF(S337="BREWERS",0.99,IF(S337="CARDINALS",0.96,IF(S337="PIRATES",1.02,IF(S337="NATIONALS",1,1))))))))))))))))))))))))))))))*IF(W337="",1,(1+((W337-70)/10*0.035)))*IF(U337="DOME",1,IF(U337="IN",1-(V337*0.01),IF(U337="OUT",1+(V337*0.01),IF(OR(U337="L-R",U337="R-L"),1+(V337*0.005),1))))</f>
        <v/>
      </c>
      <c r="U337" t="inlineStr">
        <is>
          <t>IN</t>
        </is>
      </c>
      <c r="V337" t="n">
        <v>7</v>
      </c>
      <c r="W337" t="n">
        <v>50</v>
      </c>
      <c r="Y337">
        <f>B337 &amp; " vs. " &amp; H337</f>
        <v/>
      </c>
      <c r="Z337">
        <f>TRIM(LEFT(Y337, FIND("vs.", Y337)-1))</f>
        <v/>
      </c>
      <c r="AA337">
        <f>TRIM(MID(Y337, FIND(" vs. ", Y337)+4, 100))</f>
        <v/>
      </c>
      <c r="AB337" s="35">
        <f>IF(Q337 &gt; VALUE(AC337), "O " &amp; AC337, IF(Q337 &lt; VALUE(AC337), "U " &amp; AC337, AC337))</f>
        <v/>
      </c>
      <c r="AC337" s="15">
        <f>IF(OR(O337="-", P337="-"), "-", MROUND(O337 + P337, 0.5))</f>
        <v/>
      </c>
      <c r="AD337" s="15">
        <f>VALUE(TRIM(RIGHT(AF337, LEN(AF337) - FIND(" ", AF337))))</f>
        <v/>
      </c>
      <c r="AE337" s="15">
        <f>LEFT(AF337,FIND(" ",AF337)-1)</f>
        <v/>
      </c>
      <c r="AF337" s="15">
        <f>IF(OR(O337="-", P337="-"), "-",
IF(MROUND(ABS(O337-P337),0.5)&lt;=0.5,
IF(O337&gt;P337, B337 &amp; " ML", H337 &amp; " ML"),
IF(MROUND(ABS(O337-P337),0.5)=1,
IF(O337&gt;P337, H337 &amp; " +1.5", B337 &amp; " +1.5"),
IF(O337&gt;P337, B337 &amp; " -1.5", H337 &amp; " -1.5")
)
)
)</f>
        <v/>
      </c>
      <c r="AG337" s="15">
        <f>_xlfn.LET(
_xlpm.winA, O337^1.83 / (O337^1.83 + P337^1.83),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38">
      <c r="A338" s="42" t="n">
        <v>46122</v>
      </c>
      <c r="B338" t="inlineStr">
        <is>
          <t>MARLINS</t>
        </is>
      </c>
      <c r="C338">
        <f>VLOOKUP(B338, 'MLB Data'!$B$5:$D$34, 3, FALSE)</f>
        <v/>
      </c>
      <c r="D338" t="inlineStr">
        <is>
          <t>CHRIS PADDACK</t>
        </is>
      </c>
      <c r="E338" t="n">
        <v>5.6</v>
      </c>
      <c r="F338" s="17">
        <f>VLOOKUP(B338, 'MLB Data'!$F$2:$H$34, 3, FALSE)</f>
        <v/>
      </c>
      <c r="G338" s="17">
        <f>IF((E338*0.6+F338*0.4)&lt;2.5, 2.8, IF((E338*0.6+F338*0.4)&gt;5.5, 5.2, (E338*0.6+F338*0.4)))</f>
        <v/>
      </c>
      <c r="H338" t="inlineStr">
        <is>
          <t>TIGERS</t>
        </is>
      </c>
      <c r="I338">
        <f>VLOOKUP(H338, 'MLB Data'!$B$5:$D$34, 3, FALSE)</f>
        <v/>
      </c>
      <c r="J338" t="inlineStr">
        <is>
          <t>KEIDER MONTERO</t>
        </is>
      </c>
      <c r="K338" t="n">
        <v>2.49</v>
      </c>
      <c r="L338" s="17">
        <f>VLOOKUP(H338, 'MLB Data'!$F$2:$H$34, 3, FALSE)</f>
        <v/>
      </c>
      <c r="M338" s="17">
        <f>IF((K338*0.6+L338*0.4)&lt;2.5, 2.8, IF((K338*0.6+L338*0.4)&gt;5.5, 5.2, (K338*0.6+L338*0.4)))</f>
        <v/>
      </c>
      <c r="O338" s="18">
        <f>(C338/100) * 4.1 * (M338 / 4.2) * T338</f>
        <v/>
      </c>
      <c r="P338" s="18">
        <f>(I338/100) * 4.05 * (G338 / 4.2) * T338</f>
        <v/>
      </c>
      <c r="Q338" s="18">
        <f>(O338+P338)</f>
        <v/>
      </c>
      <c r="S338" s="15">
        <f>H338</f>
        <v/>
      </c>
      <c r="T338" s="19">
        <f>IF(S338="ROCKIES",1.13,IF(S338="ATHLETICS",1.03,IF(S338="ROYALS",1.03,IF(S338="TWINS",1,IF(S338="TIGERS",1,IF(S338="MARLINS",1.01,IF(S338="REDS",1.05,IF(S338="RED SOX",1.04,IF(S338="YANKEES",1.02,IF(S338="DODGERS",0.99,IF(S338="PADRES",0.96,IF(S338="CUBS",0.98,IF(S338="GIANTS",0.97,IF(S338="MARINERS",0.94,IF(S338="RANGERS",1,IF(S338="ASTROS",0.99,IF(S338="BRAVES",1,IF(S338="METS",0.96,IF(S338="PHILLIES",1.02,IF(S338="BLUE JAYS",1.01,IF(S338="ORIOLES",0.99,IF(S338="RAYS",1.01,IF(S338="GUARDIANS",0.99,IF(S338="WHITE SOX",0.98,IF(S338="ANGELS",1.01,IF(S338="D-BACKS",1.01,IF(S338="BREWERS",0.99,IF(S338="CARDINALS",0.96,IF(S338="PIRATES",1.02,IF(S338="NATIONALS",1,1))))))))))))))))))))))))))))))*IF(W338="",1,(1+((W338-70)/10*0.035)))*IF(U338="DOME",1,IF(U338="IN",1-(V338*0.01),IF(U338="OUT",1+(V338*0.01),IF(OR(U338="L-R",U338="R-L"),1+(V338*0.005),1))))</f>
        <v/>
      </c>
      <c r="U338" t="inlineStr">
        <is>
          <t>R-L</t>
        </is>
      </c>
      <c r="V338" t="n">
        <v>2</v>
      </c>
      <c r="W338" t="n">
        <v>60</v>
      </c>
      <c r="Y338">
        <f>B338 &amp; " vs. " &amp; H338</f>
        <v/>
      </c>
      <c r="Z338">
        <f>TRIM(LEFT(Y338, FIND("vs.", Y338)-1))</f>
        <v/>
      </c>
      <c r="AA338">
        <f>TRIM(MID(Y338, FIND(" vs. ", Y338)+4, 100))</f>
        <v/>
      </c>
      <c r="AB338" s="35">
        <f>IF(Q338 &gt; VALUE(AC338), "O " &amp; AC338, IF(Q338 &lt; VALUE(AC338), "U " &amp; AC338, AC338))</f>
        <v/>
      </c>
      <c r="AC338" s="15">
        <f>IF(OR(O338="-", P338="-"), "-", MROUND(O338 + P338, 0.5))</f>
        <v/>
      </c>
      <c r="AD338" s="15">
        <f>VALUE(TRIM(RIGHT(AF338, LEN(AF338) - FIND(" ", AF338))))</f>
        <v/>
      </c>
      <c r="AE338" s="15">
        <f>LEFT(AF338,FIND(" ",AF338)-1)</f>
        <v/>
      </c>
      <c r="AF338" s="15">
        <f>IF(OR(O338="-", P338="-"), "-",
IF(MROUND(ABS(O338-P338),0.5)&lt;=0.5,
IF(O338&gt;P338, B338 &amp; " ML", H338 &amp; " ML"),
IF(MROUND(ABS(O338-P338),0.5)=1,
IF(O338&gt;P338, H338 &amp; " +1.5", B338 &amp; " +1.5"),
IF(O338&gt;P338, B338 &amp; " -1.5", H338 &amp; " -1.5")
)
)
)</f>
        <v/>
      </c>
      <c r="AG338" s="15">
        <f>_xlfn.LET(
_xlpm.winA, O338^1.83 / (O338^1.83 + P338^1.83),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39">
      <c r="A339" s="42" t="n">
        <v>46122</v>
      </c>
      <c r="B339" t="inlineStr">
        <is>
          <t>ANGELS</t>
        </is>
      </c>
      <c r="C339">
        <f>VLOOKUP(B339, 'MLB Data'!$B$5:$D$34, 3, FALSE)</f>
        <v/>
      </c>
      <c r="D339" t="inlineStr">
        <is>
          <t>JACK KOCHANOWICZ</t>
        </is>
      </c>
      <c r="E339" t="n">
        <v>3.28</v>
      </c>
      <c r="F339" s="17">
        <f>VLOOKUP(B339, 'MLB Data'!$F$2:$H$34, 3, FALSE)</f>
        <v/>
      </c>
      <c r="G339" s="17">
        <f>IF((E339*0.6+F339*0.4)&lt;2.5, 2.8, IF((E339*0.6+F339*0.4)&gt;5.5, 5.2, (E339*0.6+F339*0.4)))</f>
        <v/>
      </c>
      <c r="H339" t="inlineStr">
        <is>
          <t>REDS</t>
        </is>
      </c>
      <c r="I339">
        <f>VLOOKUP(H339, 'MLB Data'!$B$5:$D$34, 3, FALSE)</f>
        <v/>
      </c>
      <c r="J339" t="inlineStr">
        <is>
          <t>CHASE BURNS</t>
        </is>
      </c>
      <c r="K339" t="n">
        <v>2.54</v>
      </c>
      <c r="L339" s="17">
        <f>VLOOKUP(H339, 'MLB Data'!$F$2:$H$34, 3, FALSE)</f>
        <v/>
      </c>
      <c r="M339" s="17">
        <f>IF((K339*0.6+L339*0.4)&lt;2.5, 2.8, IF((K339*0.6+L339*0.4)&gt;5.5, 5.2, (K339*0.6+L339*0.4)))</f>
        <v/>
      </c>
      <c r="O339" s="18">
        <f>(C339/100) * 4.1 * (M339 / 4.2) * T339</f>
        <v/>
      </c>
      <c r="P339" s="18">
        <f>(I339/100) * 4.05 * (G339 / 4.2) * T339</f>
        <v/>
      </c>
      <c r="Q339" s="18">
        <f>(O339+P339)</f>
        <v/>
      </c>
      <c r="S339" s="15">
        <f>H339</f>
        <v/>
      </c>
      <c r="T339" s="19">
        <f>IF(S339="ROCKIES",1.13,IF(S339="ATHLETICS",1.03,IF(S339="ROYALS",1.03,IF(S339="TWINS",1,IF(S339="TIGERS",1,IF(S339="MARLINS",1.01,IF(S339="REDS",1.05,IF(S339="RED SOX",1.04,IF(S339="YANKEES",1.02,IF(S339="DODGERS",0.99,IF(S339="PADRES",0.96,IF(S339="CUBS",0.98,IF(S339="GIANTS",0.97,IF(S339="MARINERS",0.94,IF(S339="RANGERS",1,IF(S339="ASTROS",0.99,IF(S339="BRAVES",1,IF(S339="METS",0.96,IF(S339="PHILLIES",1.02,IF(S339="BLUE JAYS",1.01,IF(S339="ORIOLES",0.99,IF(S339="RAYS",1.01,IF(S339="GUARDIANS",0.99,IF(S339="WHITE SOX",0.98,IF(S339="ANGELS",1.01,IF(S339="D-BACKS",1.01,IF(S339="BREWERS",0.99,IF(S339="CARDINALS",0.96,IF(S339="PIRATES",1.02,IF(S339="NATIONALS",1,1))))))))))))))))))))))))))))))*IF(W339="",1,(1+((W339-70)/10*0.035)))*IF(U339="DOME",1,IF(U339="IN",1-(V339*0.01),IF(U339="OUT",1+(V339*0.01),IF(OR(U339="L-R",U339="R-L"),1+(V339*0.005),1))))</f>
        <v/>
      </c>
      <c r="U339" t="inlineStr">
        <is>
          <t>IN</t>
        </is>
      </c>
      <c r="V339" t="n">
        <v>7</v>
      </c>
      <c r="W339" t="n">
        <v>57</v>
      </c>
      <c r="Y339">
        <f>B339 &amp; " vs. " &amp; H339</f>
        <v/>
      </c>
      <c r="Z339">
        <f>TRIM(LEFT(Y339, FIND("vs.", Y339)-1))</f>
        <v/>
      </c>
      <c r="AA339">
        <f>TRIM(MID(Y339, FIND(" vs. ", Y339)+4, 100))</f>
        <v/>
      </c>
      <c r="AB339" s="35">
        <f>IF(Q339 &gt; VALUE(AC339), "O " &amp; AC339, IF(Q339 &lt; VALUE(AC339), "U " &amp; AC339, AC339))</f>
        <v/>
      </c>
      <c r="AC339" s="15">
        <f>IF(OR(O339="-", P339="-"), "-", MROUND(O339 + P339, 0.5))</f>
        <v/>
      </c>
      <c r="AD339" s="15">
        <f>VALUE(TRIM(RIGHT(AF339, LEN(AF339) - FIND(" ", AF339))))</f>
        <v/>
      </c>
      <c r="AE339" s="15">
        <f>LEFT(AF339,FIND(" ",AF339)-1)</f>
        <v/>
      </c>
      <c r="AF339" s="15">
        <f>IF(OR(O339="-", P339="-"), "-",
IF(MROUND(ABS(O339-P339),0.5)&lt;=0.5,
IF(O339&gt;P339, B339 &amp; " ML", H339 &amp; " ML"),
IF(MROUND(ABS(O339-P339),0.5)=1,
IF(O339&gt;P339, H339 &amp; " +1.5", B339 &amp; " +1.5"),
IF(O339&gt;P339, B339 &amp; " -1.5", H339 &amp; " -1.5")
)
)
)</f>
        <v/>
      </c>
      <c r="AG339" s="15">
        <f>_xlfn.LET(
_xlpm.winA, O339^1.83 / (O339^1.83 + P339^1.83),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40">
      <c r="A340" s="42" t="n">
        <v>46122</v>
      </c>
      <c r="B340" t="inlineStr">
        <is>
          <t>TWINS</t>
        </is>
      </c>
      <c r="C340">
        <f>VLOOKUP(B340, 'MLB Data'!$B$5:$D$34, 3, FALSE)</f>
        <v/>
      </c>
      <c r="D340" t="inlineStr">
        <is>
          <t>SIMEON WOODS RICHARDSON</t>
        </is>
      </c>
      <c r="E340" t="n">
        <v>5.15</v>
      </c>
      <c r="F340" s="17">
        <f>VLOOKUP(B340, 'MLB Data'!$F$2:$H$34, 3, FALSE)</f>
        <v/>
      </c>
      <c r="G340" s="17">
        <f>IF((E340*0.6+F340*0.4)&lt;2.5, 2.8, IF((E340*0.6+F340*0.4)&gt;5.5, 5.2, (E340*0.6+F340*0.4)))</f>
        <v/>
      </c>
      <c r="H340" t="inlineStr">
        <is>
          <t>BLUE JAYS</t>
        </is>
      </c>
      <c r="I340">
        <f>VLOOKUP(H340, 'MLB Data'!$B$5:$D$34, 3, FALSE)</f>
        <v/>
      </c>
      <c r="J340" t="inlineStr">
        <is>
          <t>PATRICK CORBIN</t>
        </is>
      </c>
      <c r="L340" s="17">
        <f>VLOOKUP(H340, 'MLB Data'!$F$2:$H$34, 3, FALSE)</f>
        <v/>
      </c>
      <c r="M340" s="17">
        <f>IF((K340*0.6+L340*0.4)&lt;2.5, 2.8, IF((K340*0.6+L340*0.4)&gt;5.5, 5.2, (K340*0.6+L340*0.4)))</f>
        <v/>
      </c>
      <c r="O340" s="18">
        <f>(C340/100) * 4.1 * (M340 / 4.2) * T340</f>
        <v/>
      </c>
      <c r="P340" s="18">
        <f>(I340/100) * 4.05 * (G340 / 4.2) * T340</f>
        <v/>
      </c>
      <c r="Q340" s="18">
        <f>(O340+P340)</f>
        <v/>
      </c>
      <c r="S340" s="15">
        <f>H340</f>
        <v/>
      </c>
      <c r="T340" s="19">
        <f>IF(S340="ROCKIES",1.13,IF(S340="ATHLETICS",1.03,IF(S340="ROYALS",1.03,IF(S340="TWINS",1,IF(S340="TIGERS",1,IF(S340="MARLINS",1.01,IF(S340="REDS",1.05,IF(S340="RED SOX",1.04,IF(S340="YANKEES",1.02,IF(S340="DODGERS",0.99,IF(S340="PADRES",0.96,IF(S340="CUBS",0.98,IF(S340="GIANTS",0.97,IF(S340="MARINERS",0.94,IF(S340="RANGERS",1,IF(S340="ASTROS",0.99,IF(S340="BRAVES",1,IF(S340="METS",0.96,IF(S340="PHILLIES",1.02,IF(S340="BLUE JAYS",1.01,IF(S340="ORIOLES",0.99,IF(S340="RAYS",1.01,IF(S340="GUARDIANS",0.99,IF(S340="WHITE SOX",0.98,IF(S340="ANGELS",1.01,IF(S340="D-BACKS",1.01,IF(S340="BREWERS",0.99,IF(S340="CARDINALS",0.96,IF(S340="PIRATES",1.02,IF(S340="NATIONALS",1,1))))))))))))))))))))))))))))))*IF(W340="",1,(1+((W340-70)/10*0.035)))*IF(U340="DOME",1,IF(U340="IN",1-(V340*0.01),IF(U340="OUT",1+(V340*0.01),IF(OR(U340="L-R",U340="R-L"),1+(V340*0.005),1))))</f>
        <v/>
      </c>
      <c r="U340" t="inlineStr">
        <is>
          <t>DOME</t>
        </is>
      </c>
      <c r="V340" t="n">
        <v>0</v>
      </c>
      <c r="Y340">
        <f>B340 &amp; " vs. " &amp; H340</f>
        <v/>
      </c>
      <c r="Z340">
        <f>TRIM(LEFT(Y340, FIND("vs.", Y340)-1))</f>
        <v/>
      </c>
      <c r="AA340">
        <f>TRIM(MID(Y340, FIND(" vs. ", Y340)+4, 100))</f>
        <v/>
      </c>
      <c r="AB340" s="35">
        <f>IF(Q340 &gt; VALUE(AC340), "O " &amp; AC340, IF(Q340 &lt; VALUE(AC340), "U " &amp; AC340, AC340))</f>
        <v/>
      </c>
      <c r="AC340" s="15">
        <f>IF(OR(O340="-", P340="-"), "-", MROUND(O340 + P340, 0.5))</f>
        <v/>
      </c>
      <c r="AD340" s="15">
        <f>VALUE(TRIM(RIGHT(AF340, LEN(AF340) - FIND(" ", AF340))))</f>
        <v/>
      </c>
      <c r="AE340" s="15">
        <f>LEFT(AF340,FIND(" ",AF340)-1)</f>
        <v/>
      </c>
      <c r="AF340" s="15">
        <f>IF(OR(O340="-", P340="-"), "-",
IF(MROUND(ABS(O340-P340),0.5)&lt;=0.5,
IF(O340&gt;P340, B340 &amp; " ML", H340 &amp; " ML"),
IF(MROUND(ABS(O340-P340),0.5)=1,
IF(O340&gt;P340, H340 &amp; " +1.5", B340 &amp; " +1.5"),
IF(O340&gt;P340, B340 &amp; " -1.5", H340 &amp; " -1.5")
)
)
)</f>
        <v/>
      </c>
      <c r="AG340" s="15">
        <f>_xlfn.LET(
_xlpm.winA, O340^1.83 / (O340^1.83 + P340^1.83),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41">
      <c r="A341" s="42" t="n">
        <v>46122</v>
      </c>
      <c r="B341" t="inlineStr">
        <is>
          <t>ATHLETICS</t>
        </is>
      </c>
      <c r="C341">
        <f>VLOOKUP(B341, 'MLB Data'!$B$5:$D$34, 3, FALSE)</f>
        <v/>
      </c>
      <c r="D341" t="inlineStr">
        <is>
          <t>J.T. GINN</t>
        </is>
      </c>
      <c r="E341" t="n">
        <v>4.75</v>
      </c>
      <c r="F341" s="17">
        <f>VLOOKUP(B341, 'MLB Data'!$F$2:$H$34, 3, FALSE)</f>
        <v/>
      </c>
      <c r="G341" s="17">
        <f>IF((E341*0.6+F341*0.4)&lt;2.5, 2.8, IF((E341*0.6+F341*0.4)&gt;5.5, 5.2, (E341*0.6+F341*0.4)))</f>
        <v/>
      </c>
      <c r="H341" t="inlineStr">
        <is>
          <t>METS</t>
        </is>
      </c>
      <c r="I341">
        <f>VLOOKUP(H341, 'MLB Data'!$B$5:$D$34, 3, FALSE)</f>
        <v/>
      </c>
      <c r="J341" t="inlineStr">
        <is>
          <t>CLAY HOLMES</t>
        </is>
      </c>
      <c r="K341" t="n">
        <v>3.97</v>
      </c>
      <c r="L341" s="17">
        <f>VLOOKUP(H341, 'MLB Data'!$F$2:$H$34, 3, FALSE)</f>
        <v/>
      </c>
      <c r="M341" s="17">
        <f>IF((K341*0.6+L341*0.4)&lt;2.5, 2.8, IF((K341*0.6+L341*0.4)&gt;5.5, 5.2, (K341*0.6+L341*0.4)))</f>
        <v/>
      </c>
      <c r="O341" s="18">
        <f>(C341/100) * 4.1 * (M341 / 4.2) * T341</f>
        <v/>
      </c>
      <c r="P341" s="18">
        <f>(I341/100) * 4.05 * (G341 / 4.2) * T341</f>
        <v/>
      </c>
      <c r="Q341" s="18">
        <f>(O341+P341)</f>
        <v/>
      </c>
      <c r="S341" s="15">
        <f>H341</f>
        <v/>
      </c>
      <c r="T341" s="19">
        <f>IF(S341="ROCKIES",1.13,IF(S341="ATHLETICS",1.03,IF(S341="ROYALS",1.03,IF(S341="TWINS",1,IF(S341="TIGERS",1,IF(S341="MARLINS",1.01,IF(S341="REDS",1.05,IF(S341="RED SOX",1.04,IF(S341="YANKEES",1.02,IF(S341="DODGERS",0.99,IF(S341="PADRES",0.96,IF(S341="CUBS",0.98,IF(S341="GIANTS",0.97,IF(S341="MARINERS",0.94,IF(S341="RANGERS",1,IF(S341="ASTROS",0.99,IF(S341="BRAVES",1,IF(S341="METS",0.96,IF(S341="PHILLIES",1.02,IF(S341="BLUE JAYS",1.01,IF(S341="ORIOLES",0.99,IF(S341="RAYS",1.01,IF(S341="GUARDIANS",0.99,IF(S341="WHITE SOX",0.98,IF(S341="ANGELS",1.01,IF(S341="D-BACKS",1.01,IF(S341="BREWERS",0.99,IF(S341="CARDINALS",0.96,IF(S341="PIRATES",1.02,IF(S341="NATIONALS",1,1))))))))))))))))))))))))))))))*IF(W341="",1,(1+((W341-70)/10*0.035)))*IF(U341="DOME",1,IF(U341="IN",1-(V341*0.01),IF(U341="OUT",1+(V341*0.01),IF(OR(U341="L-R",U341="R-L"),1+(V341*0.005),1))))</f>
        <v/>
      </c>
      <c r="U341" t="inlineStr">
        <is>
          <t>IN</t>
        </is>
      </c>
      <c r="V341" t="n">
        <v>9</v>
      </c>
      <c r="W341" t="n">
        <v>42</v>
      </c>
      <c r="Y341">
        <f>B341 &amp; " vs. " &amp; H341</f>
        <v/>
      </c>
      <c r="Z341">
        <f>TRIM(LEFT(Y341, FIND("vs.", Y341)-1))</f>
        <v/>
      </c>
      <c r="AA341">
        <f>TRIM(MID(Y341, FIND(" vs. ", Y341)+4, 100))</f>
        <v/>
      </c>
      <c r="AB341" s="35">
        <f>IF(Q341 &gt; VALUE(AC341), "O " &amp; AC341, IF(Q341 &lt; VALUE(AC341), "U " &amp; AC341, AC341))</f>
        <v/>
      </c>
      <c r="AC341" s="15">
        <f>IF(OR(O341="-", P341="-"), "-", MROUND(O341 + P341, 0.5))</f>
        <v/>
      </c>
      <c r="AD341" s="15">
        <f>VALUE(TRIM(RIGHT(AF341, LEN(AF341) - FIND(" ", AF341))))</f>
        <v/>
      </c>
      <c r="AE341" s="15">
        <f>LEFT(AF341,FIND(" ",AF341)-1)</f>
        <v/>
      </c>
      <c r="AF341" s="15">
        <f>IF(OR(O341="-", P341="-"), "-",
IF(MROUND(ABS(O341-P341),0.5)&lt;=0.5,
IF(O341&gt;P341, B341 &amp; " ML", H341 &amp; " ML"),
IF(MROUND(ABS(O341-P341),0.5)=1,
IF(O341&gt;P341, H341 &amp; " +1.5", B341 &amp; " +1.5"),
IF(O341&gt;P341, B341 &amp; " -1.5", H341 &amp; " -1.5")
)
)
)</f>
        <v/>
      </c>
      <c r="AG341" s="15">
        <f>_xlfn.LET(
_xlpm.winA, O341^1.83 / (O341^1.83 + P341^1.83),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42">
      <c r="A342" s="42" t="n">
        <v>46122</v>
      </c>
      <c r="B342" t="inlineStr">
        <is>
          <t>YANKEES</t>
        </is>
      </c>
      <c r="C342">
        <f>VLOOKUP(B342, 'MLB Data'!$B$5:$D$34, 3, FALSE)</f>
        <v/>
      </c>
      <c r="D342" t="inlineStr">
        <is>
          <t>LUIS GIL</t>
        </is>
      </c>
      <c r="F342" s="17">
        <f>VLOOKUP(B342, 'MLB Data'!$F$2:$H$34, 3, FALSE)</f>
        <v/>
      </c>
      <c r="G342" s="17">
        <f>IF((E342*0.6+F342*0.4)&lt;2.5, 2.8, IF((E342*0.6+F342*0.4)&gt;5.5, 5.2, (E342*0.6+F342*0.4)))</f>
        <v/>
      </c>
      <c r="H342" t="inlineStr">
        <is>
          <t>RAYS</t>
        </is>
      </c>
      <c r="I342">
        <f>VLOOKUP(H342, 'MLB Data'!$B$5:$D$34, 3, FALSE)</f>
        <v/>
      </c>
      <c r="J342" t="inlineStr">
        <is>
          <t>STEVEN MATZ</t>
        </is>
      </c>
      <c r="K342" t="n">
        <v>3.36</v>
      </c>
      <c r="L342" s="17">
        <f>VLOOKUP(H342, 'MLB Data'!$F$2:$H$34, 3, FALSE)</f>
        <v/>
      </c>
      <c r="M342" s="17">
        <f>IF((K342*0.6+L342*0.4)&lt;2.5, 2.8, IF((K342*0.6+L342*0.4)&gt;5.5, 5.2, (K342*0.6+L342*0.4)))</f>
        <v/>
      </c>
      <c r="O342" s="18">
        <f>(C342/100) * 4.1 * (M342 / 4.2) * T342</f>
        <v/>
      </c>
      <c r="P342" s="18">
        <f>(I342/100) * 4.05 * (G342 / 4.2) * T342</f>
        <v/>
      </c>
      <c r="Q342" s="18">
        <f>(O342+P342)</f>
        <v/>
      </c>
      <c r="S342" s="15">
        <f>H342</f>
        <v/>
      </c>
      <c r="T342" s="19">
        <f>IF(S342="ROCKIES",1.13,IF(S342="ATHLETICS",1.03,IF(S342="ROYALS",1.03,IF(S342="TWINS",1,IF(S342="TIGERS",1,IF(S342="MARLINS",1.01,IF(S342="REDS",1.05,IF(S342="RED SOX",1.04,IF(S342="YANKEES",1.02,IF(S342="DODGERS",0.99,IF(S342="PADRES",0.96,IF(S342="CUBS",0.98,IF(S342="GIANTS",0.97,IF(S342="MARINERS",0.94,IF(S342="RANGERS",1,IF(S342="ASTROS",0.99,IF(S342="BRAVES",1,IF(S342="METS",0.96,IF(S342="PHILLIES",1.02,IF(S342="BLUE JAYS",1.01,IF(S342="ORIOLES",0.99,IF(S342="RAYS",1.01,IF(S342="GUARDIANS",0.99,IF(S342="WHITE SOX",0.98,IF(S342="ANGELS",1.01,IF(S342="D-BACKS",1.01,IF(S342="BREWERS",0.99,IF(S342="CARDINALS",0.96,IF(S342="PIRATES",1.02,IF(S342="NATIONALS",1,1))))))))))))))))))))))))))))))*IF(W342="",1,(1+((W342-70)/10*0.035)))*IF(U342="DOME",1,IF(U342="IN",1-(V342*0.01),IF(U342="OUT",1+(V342*0.01),IF(OR(U342="L-R",U342="R-L"),1+(V342*0.005),1))))</f>
        <v/>
      </c>
      <c r="U342" t="inlineStr">
        <is>
          <t>DOME</t>
        </is>
      </c>
      <c r="V342" t="n">
        <v>0</v>
      </c>
      <c r="Y342">
        <f>B342 &amp; " vs. " &amp; H342</f>
        <v/>
      </c>
      <c r="Z342">
        <f>TRIM(LEFT(Y342, FIND("vs.", Y342)-1))</f>
        <v/>
      </c>
      <c r="AA342">
        <f>TRIM(MID(Y342, FIND(" vs. ", Y342)+4, 100))</f>
        <v/>
      </c>
      <c r="AB342" s="35">
        <f>IF(Q342 &gt; VALUE(AC342), "O " &amp; AC342, IF(Q342 &lt; VALUE(AC342), "U " &amp; AC342, AC342))</f>
        <v/>
      </c>
      <c r="AC342" s="15">
        <f>IF(OR(O342="-", P342="-"), "-", MROUND(O342 + P342, 0.5))</f>
        <v/>
      </c>
      <c r="AD342" s="15">
        <f>VALUE(TRIM(RIGHT(AF342, LEN(AF342) - FIND(" ", AF342))))</f>
        <v/>
      </c>
      <c r="AE342" s="15">
        <f>LEFT(AF342,FIND(" ",AF342)-1)</f>
        <v/>
      </c>
      <c r="AF342" s="15">
        <f>IF(OR(O342="-", P342="-"), "-",
IF(MROUND(ABS(O342-P342),0.5)&lt;=0.5,
IF(O342&gt;P342, B342 &amp; " ML", H342 &amp; " ML"),
IF(MROUND(ABS(O342-P342),0.5)=1,
IF(O342&gt;P342, H342 &amp; " +1.5", B342 &amp; " +1.5"),
IF(O342&gt;P342, B342 &amp; " -1.5", H342 &amp; " -1.5")
)
)
)</f>
        <v/>
      </c>
      <c r="AG342" s="15">
        <f>_xlfn.LET(
_xlpm.winA, O342^1.83 / (O342^1.83 + P342^1.83),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43">
      <c r="A343" s="42" t="n">
        <v>46122</v>
      </c>
      <c r="B343" t="inlineStr">
        <is>
          <t>GIANTS</t>
        </is>
      </c>
      <c r="C343">
        <f>VLOOKUP(B343, 'MLB Data'!$B$5:$D$34, 3, FALSE)</f>
        <v/>
      </c>
      <c r="D343" t="inlineStr">
        <is>
          <t>LANDEN ROUPP</t>
        </is>
      </c>
      <c r="E343" t="n">
        <v>1.4</v>
      </c>
      <c r="F343" s="17">
        <f>VLOOKUP(B343, 'MLB Data'!$F$2:$H$34, 3, FALSE)</f>
        <v/>
      </c>
      <c r="G343" s="17">
        <f>IF((E343*0.6+F343*0.4)&lt;2.5, 2.8, IF((E343*0.6+F343*0.4)&gt;5.5, 5.2, (E343*0.6+F343*0.4)))</f>
        <v/>
      </c>
      <c r="H343" t="inlineStr">
        <is>
          <t>ORIOLES</t>
        </is>
      </c>
      <c r="I343">
        <f>VLOOKUP(H343, 'MLB Data'!$B$5:$D$34, 3, FALSE)</f>
        <v/>
      </c>
      <c r="J343" t="inlineStr">
        <is>
          <t>SHANE BAZ</t>
        </is>
      </c>
      <c r="K343" t="n">
        <v>2.91</v>
      </c>
      <c r="L343" s="17">
        <f>VLOOKUP(H343, 'MLB Data'!$F$2:$H$34, 3, FALSE)</f>
        <v/>
      </c>
      <c r="M343" s="17">
        <f>IF((K343*0.6+L343*0.4)&lt;2.5, 2.8, IF((K343*0.6+L343*0.4)&gt;5.5, 5.2, (K343*0.6+L343*0.4)))</f>
        <v/>
      </c>
      <c r="O343" s="18">
        <f>(C343/100) * 4.1 * (M343 / 4.2) * T343</f>
        <v/>
      </c>
      <c r="P343" s="18">
        <f>(I343/100) * 4.05 * (G343 / 4.2) * T343</f>
        <v/>
      </c>
      <c r="Q343" s="18">
        <f>(O343+P343)</f>
        <v/>
      </c>
      <c r="S343" s="15">
        <f>H343</f>
        <v/>
      </c>
      <c r="T343" s="19">
        <f>IF(S343="ROCKIES",1.13,IF(S343="ATHLETICS",1.03,IF(S343="ROYALS",1.03,IF(S343="TWINS",1,IF(S343="TIGERS",1,IF(S343="MARLINS",1.01,IF(S343="REDS",1.05,IF(S343="RED SOX",1.04,IF(S343="YANKEES",1.02,IF(S343="DODGERS",0.99,IF(S343="PADRES",0.96,IF(S343="CUBS",0.98,IF(S343="GIANTS",0.97,IF(S343="MARINERS",0.94,IF(S343="RANGERS",1,IF(S343="ASTROS",0.99,IF(S343="BRAVES",1,IF(S343="METS",0.96,IF(S343="PHILLIES",1.02,IF(S343="BLUE JAYS",1.01,IF(S343="ORIOLES",0.99,IF(S343="RAYS",1.01,IF(S343="GUARDIANS",0.99,IF(S343="WHITE SOX",0.98,IF(S343="ANGELS",1.01,IF(S343="D-BACKS",1.01,IF(S343="BREWERS",0.99,IF(S343="CARDINALS",0.96,IF(S343="PIRATES",1.02,IF(S343="NATIONALS",1,1))))))))))))))))))))))))))))))*IF(W343="",1,(1+((W343-70)/10*0.035)))*IF(U343="DOME",1,IF(U343="IN",1-(V343*0.01),IF(U343="OUT",1+(V343*0.01),IF(OR(U343="L-R",U343="R-L"),1+(V343*0.005),1))))</f>
        <v/>
      </c>
      <c r="U343" t="inlineStr">
        <is>
          <t>IN</t>
        </is>
      </c>
      <c r="V343" t="n">
        <v>8</v>
      </c>
      <c r="W343" t="n">
        <v>52</v>
      </c>
      <c r="Y343">
        <f>B343 &amp; " vs. " &amp; H343</f>
        <v/>
      </c>
      <c r="Z343">
        <f>TRIM(LEFT(Y343, FIND("vs.", Y343)-1))</f>
        <v/>
      </c>
      <c r="AA343">
        <f>TRIM(MID(Y343, FIND(" vs. ", Y343)+4, 100))</f>
        <v/>
      </c>
      <c r="AB343" s="35">
        <f>IF(Q343 &gt; VALUE(AC343), "O " &amp; AC343, IF(Q343 &lt; VALUE(AC343), "U " &amp; AC343, AC343))</f>
        <v/>
      </c>
      <c r="AC343" s="15">
        <f>IF(OR(O343="-", P343="-"), "-", MROUND(O343 + P343, 0.5))</f>
        <v/>
      </c>
      <c r="AD343" s="15">
        <f>VALUE(TRIM(RIGHT(AF343, LEN(AF343) - FIND(" ", AF343))))</f>
        <v/>
      </c>
      <c r="AE343" s="15">
        <f>LEFT(AF343,FIND(" ",AF343)-1)</f>
        <v/>
      </c>
      <c r="AF343" s="15">
        <f>IF(OR(O343="-", P343="-"), "-",
IF(MROUND(ABS(O343-P343),0.5)&lt;=0.5,
IF(O343&gt;P343, B343 &amp; " ML", H343 &amp; " ML"),
IF(MROUND(ABS(O343-P343),0.5)=1,
IF(O343&gt;P343, H343 &amp; " +1.5", B343 &amp; " +1.5"),
IF(O343&gt;P343, B343 &amp; " -1.5", H343 &amp; " -1.5")
)
)
)</f>
        <v/>
      </c>
      <c r="AG343" s="15">
        <f>_xlfn.LET(
_xlpm.winA, O343^1.83 / (O343^1.83 + P343^1.83),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44">
      <c r="A344" s="42" t="n">
        <v>46122</v>
      </c>
      <c r="B344" t="inlineStr">
        <is>
          <t>GUARDIANS</t>
        </is>
      </c>
      <c r="C344">
        <f>VLOOKUP(B344, 'MLB Data'!$B$5:$D$34, 3, FALSE)</f>
        <v/>
      </c>
      <c r="D344" t="inlineStr">
        <is>
          <t>SLADE CECCONI</t>
        </is>
      </c>
      <c r="E344" t="n">
        <v>4.34</v>
      </c>
      <c r="F344" s="17">
        <f>VLOOKUP(B344, 'MLB Data'!$F$2:$H$34, 3, FALSE)</f>
        <v/>
      </c>
      <c r="G344" s="17">
        <f>IF((E344*0.6+F344*0.4)&lt;2.5, 2.8, IF((E344*0.6+F344*0.4)&gt;5.5, 5.2, (E344*0.6+F344*0.4)))</f>
        <v/>
      </c>
      <c r="H344" t="inlineStr">
        <is>
          <t>BRAVES</t>
        </is>
      </c>
      <c r="I344">
        <f>VLOOKUP(H344, 'MLB Data'!$B$5:$D$34, 3, FALSE)</f>
        <v/>
      </c>
      <c r="J344" t="inlineStr">
        <is>
          <t>BRYCE ELDER</t>
        </is>
      </c>
      <c r="K344" t="n">
        <v>1.64</v>
      </c>
      <c r="L344" s="17">
        <f>VLOOKUP(H344, 'MLB Data'!$F$2:$H$34, 3, FALSE)</f>
        <v/>
      </c>
      <c r="M344" s="17">
        <f>IF((K344*0.6+L344*0.4)&lt;2.5, 2.8, IF((K344*0.6+L344*0.4)&gt;5.5, 5.2, (K344*0.6+L344*0.4)))</f>
        <v/>
      </c>
      <c r="O344" s="18">
        <f>(C344/100) * 4.1 * (M344 / 4.2) * T344</f>
        <v/>
      </c>
      <c r="P344" s="18">
        <f>(I344/100) * 4.05 * (G344 / 4.2) * T344</f>
        <v/>
      </c>
      <c r="Q344" s="18">
        <f>(O344+P344)</f>
        <v/>
      </c>
      <c r="S344" s="15">
        <f>H344</f>
        <v/>
      </c>
      <c r="T344" s="19">
        <f>IF(S344="ROCKIES",1.13,IF(S344="ATHLETICS",1.03,IF(S344="ROYALS",1.03,IF(S344="TWINS",1,IF(S344="TIGERS",1,IF(S344="MARLINS",1.01,IF(S344="REDS",1.05,IF(S344="RED SOX",1.04,IF(S344="YANKEES",1.02,IF(S344="DODGERS",0.99,IF(S344="PADRES",0.96,IF(S344="CUBS",0.98,IF(S344="GIANTS",0.97,IF(S344="MARINERS",0.94,IF(S344="RANGERS",1,IF(S344="ASTROS",0.99,IF(S344="BRAVES",1,IF(S344="METS",0.96,IF(S344="PHILLIES",1.02,IF(S344="BLUE JAYS",1.01,IF(S344="ORIOLES",0.99,IF(S344="RAYS",1.01,IF(S344="GUARDIANS",0.99,IF(S344="WHITE SOX",0.98,IF(S344="ANGELS",1.01,IF(S344="D-BACKS",1.01,IF(S344="BREWERS",0.99,IF(S344="CARDINALS",0.96,IF(S344="PIRATES",1.02,IF(S344="NATIONALS",1,1))))))))))))))))))))))))))))))*IF(W344="",1,(1+((W344-70)/10*0.035)))*IF(U344="DOME",1,IF(U344="IN",1-(V344*0.01),IF(U344="OUT",1+(V344*0.01),IF(OR(U344="L-R",U344="R-L"),1+(V344*0.005),1))))</f>
        <v/>
      </c>
      <c r="U344" t="inlineStr">
        <is>
          <t>L-R</t>
        </is>
      </c>
      <c r="V344" t="n">
        <v>7</v>
      </c>
      <c r="W344" t="n">
        <v>59</v>
      </c>
      <c r="Y344">
        <f>B344 &amp; " vs. " &amp; H344</f>
        <v/>
      </c>
      <c r="Z344">
        <f>TRIM(LEFT(Y344, FIND("vs.", Y344)-1))</f>
        <v/>
      </c>
      <c r="AA344">
        <f>TRIM(MID(Y344, FIND(" vs. ", Y344)+4, 100))</f>
        <v/>
      </c>
      <c r="AB344" s="35">
        <f>IF(Q344 &gt; VALUE(AC344), "O " &amp; AC344, IF(Q344 &lt; VALUE(AC344), "U " &amp; AC344, AC344))</f>
        <v/>
      </c>
      <c r="AC344" s="15">
        <f>IF(OR(O344="-", P344="-"), "-", MROUND(O344 + P344, 0.5))</f>
        <v/>
      </c>
      <c r="AD344" s="15">
        <f>VALUE(TRIM(RIGHT(AF344, LEN(AF344) - FIND(" ", AF344))))</f>
        <v/>
      </c>
      <c r="AE344" s="15">
        <f>LEFT(AF344,FIND(" ",AF344)-1)</f>
        <v/>
      </c>
      <c r="AF344" s="15">
        <f>IF(OR(O344="-", P344="-"), "-",
IF(MROUND(ABS(O344-P344),0.5)&lt;=0.5,
IF(O344&gt;P344, B344 &amp; " ML", H344 &amp; " ML"),
IF(MROUND(ABS(O344-P344),0.5)=1,
IF(O344&gt;P344, H344 &amp; " +1.5", B344 &amp; " +1.5"),
IF(O344&gt;P344, B344 &amp; " -1.5", H344 &amp; " -1.5")
)
)
)</f>
        <v/>
      </c>
      <c r="AG344" s="15">
        <f>_xlfn.LET(
_xlpm.winA, O344^1.83 / (O344^1.83 + P344^1.83),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45">
      <c r="A345" s="42" t="n">
        <v>46122</v>
      </c>
      <c r="B345" t="inlineStr">
        <is>
          <t>WHITE SOX</t>
        </is>
      </c>
      <c r="C345">
        <f>VLOOKUP(B345, 'MLB Data'!$B$5:$D$34, 3, FALSE)</f>
        <v/>
      </c>
      <c r="D345" t="inlineStr">
        <is>
          <t>DAVIS MARTIN</t>
        </is>
      </c>
      <c r="E345" t="n">
        <v>3.54</v>
      </c>
      <c r="F345" s="17">
        <f>VLOOKUP(B345, 'MLB Data'!$F$2:$H$34, 3, FALSE)</f>
        <v/>
      </c>
      <c r="G345" s="17">
        <f>IF((E345*0.6+F345*0.4)&lt;2.5, 2.8, IF((E345*0.6+F345*0.4)&gt;5.5, 5.2, (E345*0.6+F345*0.4)))</f>
        <v/>
      </c>
      <c r="H345" t="inlineStr">
        <is>
          <t>ROYALS</t>
        </is>
      </c>
      <c r="I345">
        <f>VLOOKUP(H345, 'MLB Data'!$B$5:$D$34, 3, FALSE)</f>
        <v/>
      </c>
      <c r="J345" t="inlineStr">
        <is>
          <t>KRIS BUBIC</t>
        </is>
      </c>
      <c r="K345" t="n">
        <v>5</v>
      </c>
      <c r="L345" s="17">
        <f>VLOOKUP(H345, 'MLB Data'!$F$2:$H$34, 3, FALSE)</f>
        <v/>
      </c>
      <c r="M345" s="17">
        <f>IF((K345*0.6+L345*0.4)&lt;2.5, 2.8, IF((K345*0.6+L345*0.4)&gt;5.5, 5.2, (K345*0.6+L345*0.4)))</f>
        <v/>
      </c>
      <c r="O345" s="18">
        <f>(C345/100) * 4.1 * (M345 / 4.2) * T345</f>
        <v/>
      </c>
      <c r="P345" s="18">
        <f>(I345/100) * 4.05 * (G345 / 4.2) * T345</f>
        <v/>
      </c>
      <c r="Q345" s="18">
        <f>(O345+P345)</f>
        <v/>
      </c>
      <c r="S345" s="15">
        <f>H345</f>
        <v/>
      </c>
      <c r="T345" s="19">
        <f>IF(S345="ROCKIES",1.13,IF(S345="ATHLETICS",1.03,IF(S345="ROYALS",1.03,IF(S345="TWINS",1,IF(S345="TIGERS",1,IF(S345="MARLINS",1.01,IF(S345="REDS",1.05,IF(S345="RED SOX",1.04,IF(S345="YANKEES",1.02,IF(S345="DODGERS",0.99,IF(S345="PADRES",0.96,IF(S345="CUBS",0.98,IF(S345="GIANTS",0.97,IF(S345="MARINERS",0.94,IF(S345="RANGERS",1,IF(S345="ASTROS",0.99,IF(S345="BRAVES",1,IF(S345="METS",0.96,IF(S345="PHILLIES",1.02,IF(S345="BLUE JAYS",1.01,IF(S345="ORIOLES",0.99,IF(S345="RAYS",1.01,IF(S345="GUARDIANS",0.99,IF(S345="WHITE SOX",0.98,IF(S345="ANGELS",1.01,IF(S345="D-BACKS",1.01,IF(S345="BREWERS",0.99,IF(S345="CARDINALS",0.96,IF(S345="PIRATES",1.02,IF(S345="NATIONALS",1,1))))))))))))))))))))))))))))))*IF(W345="",1,(1+((W345-70)/10*0.035)))*IF(U345="DOME",1,IF(U345="IN",1-(V345*0.01),IF(U345="OUT",1+(V345*0.01),IF(OR(U345="L-R",U345="R-L"),1+(V345*0.005),1))))</f>
        <v/>
      </c>
      <c r="U345" t="inlineStr">
        <is>
          <t>IN</t>
        </is>
      </c>
      <c r="V345" t="n">
        <v>19</v>
      </c>
      <c r="W345" t="n">
        <v>74</v>
      </c>
      <c r="Y345">
        <f>B345 &amp; " vs. " &amp; H345</f>
        <v/>
      </c>
      <c r="Z345">
        <f>TRIM(LEFT(Y345, FIND("vs.", Y345)-1))</f>
        <v/>
      </c>
      <c r="AA345">
        <f>TRIM(MID(Y345, FIND(" vs. ", Y345)+4, 100))</f>
        <v/>
      </c>
      <c r="AB345" s="35">
        <f>IF(Q345 &gt; VALUE(AC345), "O " &amp; AC345, IF(Q345 &lt; VALUE(AC345), "U " &amp; AC345, AC345))</f>
        <v/>
      </c>
      <c r="AC345" s="15">
        <f>IF(OR(O345="-", P345="-"), "-", MROUND(O345 + P345, 0.5))</f>
        <v/>
      </c>
      <c r="AD345" s="15">
        <f>VALUE(TRIM(RIGHT(AF345, LEN(AF345) - FIND(" ", AF345))))</f>
        <v/>
      </c>
      <c r="AE345" s="15">
        <f>LEFT(AF345,FIND(" ",AF345)-1)</f>
        <v/>
      </c>
      <c r="AF345" s="15">
        <f>IF(OR(O345="-", P345="-"), "-",
IF(MROUND(ABS(O345-P345),0.5)&lt;=0.5,
IF(O345&gt;P345, B345 &amp; " ML", H345 &amp; " ML"),
IF(MROUND(ABS(O345-P345),0.5)=1,
IF(O345&gt;P345, H345 &amp; " +1.5", B345 &amp; " +1.5"),
IF(O345&gt;P345, B345 &amp; " -1.5", H345 &amp; " -1.5")
)
)
)</f>
        <v/>
      </c>
      <c r="AG345" s="15">
        <f>_xlfn.LET(
_xlpm.winA, O345^1.83 / (O345^1.83 + P345^1.83),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46">
      <c r="A346" s="42" t="n">
        <v>46122</v>
      </c>
      <c r="B346" t="inlineStr">
        <is>
          <t>NATIONALS</t>
        </is>
      </c>
      <c r="C346">
        <f>VLOOKUP(B346, 'MLB Data'!$B$5:$D$34, 3, FALSE)</f>
        <v/>
      </c>
      <c r="D346" t="inlineStr">
        <is>
          <t>JAKE IRVIN</t>
        </is>
      </c>
      <c r="E346" t="n">
        <v>4.62</v>
      </c>
      <c r="F346" s="17">
        <f>VLOOKUP(B346, 'MLB Data'!$F$2:$H$34, 3, FALSE)</f>
        <v/>
      </c>
      <c r="G346" s="17">
        <f>IF((E346*0.6+F346*0.4)&lt;2.5, 2.8, IF((E346*0.6+F346*0.4)&gt;5.5, 5.2, (E346*0.6+F346*0.4)))</f>
        <v/>
      </c>
      <c r="H346" t="inlineStr">
        <is>
          <t>BREWERS</t>
        </is>
      </c>
      <c r="I346">
        <f>VLOOKUP(H346, 'MLB Data'!$B$5:$D$34, 3, FALSE)</f>
        <v/>
      </c>
      <c r="J346" t="inlineStr">
        <is>
          <t>CHAD PATRICK</t>
        </is>
      </c>
      <c r="K346" t="n">
        <v>4.36</v>
      </c>
      <c r="L346" s="17">
        <f>VLOOKUP(H346, 'MLB Data'!$F$2:$H$34, 3, FALSE)</f>
        <v/>
      </c>
      <c r="M346" s="17">
        <f>IF((K346*0.6+L346*0.4)&lt;2.5, 2.8, IF((K346*0.6+L346*0.4)&gt;5.5, 5.2, (K346*0.6+L346*0.4)))</f>
        <v/>
      </c>
      <c r="O346" s="18">
        <f>(C346/100) * 4.1 * (M346 / 4.2) * T346</f>
        <v/>
      </c>
      <c r="P346" s="18">
        <f>(I346/100) * 4.05 * (G346 / 4.2) * T346</f>
        <v/>
      </c>
      <c r="Q346" s="18">
        <f>(O346+P346)</f>
        <v/>
      </c>
      <c r="S346" s="15">
        <f>H346</f>
        <v/>
      </c>
      <c r="T346" s="19">
        <f>IF(S346="ROCKIES",1.13,IF(S346="ATHLETICS",1.03,IF(S346="ROYALS",1.03,IF(S346="TWINS",1,IF(S346="TIGERS",1,IF(S346="MARLINS",1.01,IF(S346="REDS",1.05,IF(S346="RED SOX",1.04,IF(S346="YANKEES",1.02,IF(S346="DODGERS",0.99,IF(S346="PADRES",0.96,IF(S346="CUBS",0.98,IF(S346="GIANTS",0.97,IF(S346="MARINERS",0.94,IF(S346="RANGERS",1,IF(S346="ASTROS",0.99,IF(S346="BRAVES",1,IF(S346="METS",0.96,IF(S346="PHILLIES",1.02,IF(S346="BLUE JAYS",1.01,IF(S346="ORIOLES",0.99,IF(S346="RAYS",1.01,IF(S346="GUARDIANS",0.99,IF(S346="WHITE SOX",0.98,IF(S346="ANGELS",1.01,IF(S346="D-BACKS",1.01,IF(S346="BREWERS",0.99,IF(S346="CARDINALS",0.96,IF(S346="PIRATES",1.02,IF(S346="NATIONALS",1,1))))))))))))))))))))))))))))))*IF(W346="",1,(1+((W346-70)/10*0.035)))*IF(U346="DOME",1,IF(U346="IN",1-(V346*0.01),IF(U346="OUT",1+(V346*0.01),IF(OR(U346="L-R",U346="R-L"),1+(V346*0.005),1))))</f>
        <v/>
      </c>
      <c r="U346" t="inlineStr">
        <is>
          <t>DOME</t>
        </is>
      </c>
      <c r="V346" t="n">
        <v>0</v>
      </c>
      <c r="Y346">
        <f>B346 &amp; " vs. " &amp; H346</f>
        <v/>
      </c>
      <c r="Z346">
        <f>TRIM(LEFT(Y346, FIND("vs.", Y346)-1))</f>
        <v/>
      </c>
      <c r="AA346">
        <f>TRIM(MID(Y346, FIND(" vs. ", Y346)+4, 100))</f>
        <v/>
      </c>
      <c r="AB346" s="35">
        <f>IF(Q346 &gt; VALUE(AC346), "O " &amp; AC346, IF(Q346 &lt; VALUE(AC346), "U " &amp; AC346, AC346))</f>
        <v/>
      </c>
      <c r="AC346" s="15">
        <f>IF(OR(O346="-", P346="-"), "-", MROUND(O346 + P346, 0.5))</f>
        <v/>
      </c>
      <c r="AD346" s="15">
        <f>VALUE(TRIM(RIGHT(AF346, LEN(AF346) - FIND(" ", AF346))))</f>
        <v/>
      </c>
      <c r="AE346" s="15">
        <f>LEFT(AF346,FIND(" ",AF346)-1)</f>
        <v/>
      </c>
      <c r="AF346" s="15">
        <f>IF(OR(O346="-", P346="-"), "-",
IF(MROUND(ABS(O346-P346),0.5)&lt;=0.5,
IF(O346&gt;P346, B346 &amp; " ML", H346 &amp; " ML"),
IF(MROUND(ABS(O346-P346),0.5)=1,
IF(O346&gt;P346, H346 &amp; " +1.5", B346 &amp; " +1.5"),
IF(O346&gt;P346, B346 &amp; " -1.5", H346 &amp; " -1.5")
)
)
)</f>
        <v/>
      </c>
      <c r="AG346" s="15">
        <f>_xlfn.LET(
_xlpm.winA, O346^1.83 / (O346^1.83 + P346^1.83),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47">
      <c r="A347" s="42" t="n">
        <v>46122</v>
      </c>
      <c r="B347" t="inlineStr">
        <is>
          <t>RED SOX</t>
        </is>
      </c>
      <c r="C347">
        <f>VLOOKUP(B347, 'MLB Data'!$B$5:$D$34, 3, FALSE)</f>
        <v/>
      </c>
      <c r="D347" t="inlineStr">
        <is>
          <t>CONNELLY EARLY</t>
        </is>
      </c>
      <c r="E347" t="n">
        <v>2.96</v>
      </c>
      <c r="F347" s="17">
        <f>VLOOKUP(B347, 'MLB Data'!$F$2:$H$34, 3, FALSE)</f>
        <v/>
      </c>
      <c r="G347" s="17">
        <f>IF((E347*0.6+F347*0.4)&lt;2.5, 2.8, IF((E347*0.6+F347*0.4)&gt;5.5, 5.2, (E347*0.6+F347*0.4)))</f>
        <v/>
      </c>
      <c r="H347" t="inlineStr">
        <is>
          <t>CARDINALS</t>
        </is>
      </c>
      <c r="I347">
        <f>VLOOKUP(H347, 'MLB Data'!$B$5:$D$34, 3, FALSE)</f>
        <v/>
      </c>
      <c r="J347" t="inlineStr">
        <is>
          <t>DUSTIN MAY</t>
        </is>
      </c>
      <c r="K347" t="n">
        <v>6.45</v>
      </c>
      <c r="L347" s="17">
        <f>VLOOKUP(H347, 'MLB Data'!$F$2:$H$34, 3, FALSE)</f>
        <v/>
      </c>
      <c r="M347" s="17">
        <f>IF((K347*0.6+L347*0.4)&lt;2.5, 2.8, IF((K347*0.6+L347*0.4)&gt;5.5, 5.2, (K347*0.6+L347*0.4)))</f>
        <v/>
      </c>
      <c r="O347" s="18">
        <f>(C347/100) * 4.1 * (M347 / 4.2) * T347</f>
        <v/>
      </c>
      <c r="P347" s="18">
        <f>(I347/100) * 4.05 * (G347 / 4.2) * T347</f>
        <v/>
      </c>
      <c r="Q347" s="18">
        <f>(O347+P347)</f>
        <v/>
      </c>
      <c r="S347" s="15">
        <f>H347</f>
        <v/>
      </c>
      <c r="T347" s="19">
        <f>IF(S347="ROCKIES",1.13,IF(S347="ATHLETICS",1.03,IF(S347="ROYALS",1.03,IF(S347="TWINS",1,IF(S347="TIGERS",1,IF(S347="MARLINS",1.01,IF(S347="REDS",1.05,IF(S347="RED SOX",1.04,IF(S347="YANKEES",1.02,IF(S347="DODGERS",0.99,IF(S347="PADRES",0.96,IF(S347="CUBS",0.98,IF(S347="GIANTS",0.97,IF(S347="MARINERS",0.94,IF(S347="RANGERS",1,IF(S347="ASTROS",0.99,IF(S347="BRAVES",1,IF(S347="METS",0.96,IF(S347="PHILLIES",1.02,IF(S347="BLUE JAYS",1.01,IF(S347="ORIOLES",0.99,IF(S347="RAYS",1.01,IF(S347="GUARDIANS",0.99,IF(S347="WHITE SOX",0.98,IF(S347="ANGELS",1.01,IF(S347="D-BACKS",1.01,IF(S347="BREWERS",0.99,IF(S347="CARDINALS",0.96,IF(S347="PIRATES",1.02,IF(S347="NATIONALS",1,1))))))))))))))))))))))))))))))*IF(W347="",1,(1+((W347-70)/10*0.035)))*IF(U347="DOME",1,IF(U347="IN",1-(V347*0.01),IF(U347="OUT",1+(V347*0.01),IF(OR(U347="L-R",U347="R-L"),1+(V347*0.005),1))))</f>
        <v/>
      </c>
      <c r="U347" t="inlineStr">
        <is>
          <t>IN</t>
        </is>
      </c>
      <c r="V347" t="n">
        <v>14</v>
      </c>
      <c r="W347" t="n">
        <v>71</v>
      </c>
      <c r="Y347">
        <f>B347 &amp; " vs. " &amp; H347</f>
        <v/>
      </c>
      <c r="Z347">
        <f>TRIM(LEFT(Y347, FIND("vs.", Y347)-1))</f>
        <v/>
      </c>
      <c r="AA347">
        <f>TRIM(MID(Y347, FIND(" vs. ", Y347)+4, 100))</f>
        <v/>
      </c>
      <c r="AB347" s="35">
        <f>IF(Q347 &gt; VALUE(AC347), "O " &amp; AC347, IF(Q347 &lt; VALUE(AC347), "U " &amp; AC347, AC347))</f>
        <v/>
      </c>
      <c r="AC347" s="15">
        <f>IF(OR(O347="-", P347="-"), "-", MROUND(O347 + P347, 0.5))</f>
        <v/>
      </c>
      <c r="AD347" s="15">
        <f>VALUE(TRIM(RIGHT(AF347, LEN(AF347) - FIND(" ", AF347))))</f>
        <v/>
      </c>
      <c r="AE347" s="15">
        <f>LEFT(AF347,FIND(" ",AF347)-1)</f>
        <v/>
      </c>
      <c r="AF347" s="15">
        <f>IF(OR(O347="-", P347="-"), "-",
IF(MROUND(ABS(O347-P347),0.5)&lt;=0.5,
IF(O347&gt;P347, B347 &amp; " ML", H347 &amp; " ML"),
IF(MROUND(ABS(O347-P347),0.5)=1,
IF(O347&gt;P347, H347 &amp; " +1.5", B347 &amp; " +1.5"),
IF(O347&gt;P347, B347 &amp; " -1.5", H347 &amp; " -1.5")
)
)
)</f>
        <v/>
      </c>
      <c r="AG347" s="15">
        <f>_xlfn.LET(
_xlpm.winA, O347^1.83 / (O347^1.83 + P347^1.83),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48">
      <c r="A348" s="42" t="n">
        <v>46122</v>
      </c>
      <c r="B348" t="inlineStr">
        <is>
          <t>ROCKIES</t>
        </is>
      </c>
      <c r="C348">
        <f>VLOOKUP(B348, 'MLB Data'!$B$5:$D$34, 3, FALSE)</f>
        <v/>
      </c>
      <c r="D348" t="inlineStr">
        <is>
          <t>TOMOYUKI SUGANO</t>
        </is>
      </c>
      <c r="E348" t="n">
        <v>4.77</v>
      </c>
      <c r="F348" s="17">
        <f>VLOOKUP(B348, 'MLB Data'!$F$2:$H$34, 3, FALSE)</f>
        <v/>
      </c>
      <c r="G348" s="17">
        <f>IF((E348*0.6+F348*0.4)&lt;2.5, 2.8, IF((E348*0.6+F348*0.4)&gt;5.5, 5.2, (E348*0.6+F348*0.4)))</f>
        <v/>
      </c>
      <c r="H348" t="inlineStr">
        <is>
          <t>PADRES</t>
        </is>
      </c>
      <c r="I348">
        <f>VLOOKUP(H348, 'MLB Data'!$B$5:$D$34, 3, FALSE)</f>
        <v/>
      </c>
      <c r="J348" t="inlineStr">
        <is>
          <t>WALKER BUEHLER</t>
        </is>
      </c>
      <c r="K348" t="n">
        <v>5.73</v>
      </c>
      <c r="L348" s="17">
        <f>VLOOKUP(H348, 'MLB Data'!$F$2:$H$34, 3, FALSE)</f>
        <v/>
      </c>
      <c r="M348" s="17">
        <f>IF((K348*0.6+L348*0.4)&lt;2.5, 2.8, IF((K348*0.6+L348*0.4)&gt;5.5, 5.2, (K348*0.6+L348*0.4)))</f>
        <v/>
      </c>
      <c r="O348" s="18">
        <f>(C348/100) * 4.1 * (M348 / 4.2) * T348</f>
        <v/>
      </c>
      <c r="P348" s="18">
        <f>(I348/100) * 4.05 * (G348 / 4.2) * T348</f>
        <v/>
      </c>
      <c r="Q348" s="18">
        <f>(O348+P348)</f>
        <v/>
      </c>
      <c r="S348" s="15">
        <f>H348</f>
        <v/>
      </c>
      <c r="T348" s="19">
        <f>IF(S348="ROCKIES",1.13,IF(S348="ATHLETICS",1.03,IF(S348="ROYALS",1.03,IF(S348="TWINS",1,IF(S348="TIGERS",1,IF(S348="MARLINS",1.01,IF(S348="REDS",1.05,IF(S348="RED SOX",1.04,IF(S348="YANKEES",1.02,IF(S348="DODGERS",0.99,IF(S348="PADRES",0.96,IF(S348="CUBS",0.98,IF(S348="GIANTS",0.97,IF(S348="MARINERS",0.94,IF(S348="RANGERS",1,IF(S348="ASTROS",0.99,IF(S348="BRAVES",1,IF(S348="METS",0.96,IF(S348="PHILLIES",1.02,IF(S348="BLUE JAYS",1.01,IF(S348="ORIOLES",0.99,IF(S348="RAYS",1.01,IF(S348="GUARDIANS",0.99,IF(S348="WHITE SOX",0.98,IF(S348="ANGELS",1.01,IF(S348="D-BACKS",1.01,IF(S348="BREWERS",0.99,IF(S348="CARDINALS",0.96,IF(S348="PIRATES",1.02,IF(S348="NATIONALS",1,1))))))))))))))))))))))))))))))*IF(W348="",1,(1+((W348-70)/10*0.035)))*IF(U348="DOME",1,IF(U348="IN",1-(V348*0.01),IF(U348="OUT",1+(V348*0.01),IF(OR(U348="L-R",U348="R-L"),1+(V348*0.005),1))))</f>
        <v/>
      </c>
      <c r="U348" t="inlineStr">
        <is>
          <t>R-L</t>
        </is>
      </c>
      <c r="V348" t="n">
        <v>6</v>
      </c>
      <c r="W348" t="n">
        <v>68</v>
      </c>
      <c r="Y348">
        <f>B348 &amp; " vs. " &amp; H348</f>
        <v/>
      </c>
      <c r="Z348">
        <f>TRIM(LEFT(Y348, FIND("vs.", Y348)-1))</f>
        <v/>
      </c>
      <c r="AA348">
        <f>TRIM(MID(Y348, FIND(" vs. ", Y348)+4, 100))</f>
        <v/>
      </c>
      <c r="AB348" s="35">
        <f>IF(Q348 &gt; VALUE(AC348), "O " &amp; AC348, IF(Q348 &lt; VALUE(AC348), "U " &amp; AC348, AC348))</f>
        <v/>
      </c>
      <c r="AC348" s="15">
        <f>IF(OR(O348="-", P348="-"), "-", MROUND(O348 + P348, 0.5))</f>
        <v/>
      </c>
      <c r="AD348" s="15">
        <f>VALUE(TRIM(RIGHT(AF348, LEN(AF348) - FIND(" ", AF348))))</f>
        <v/>
      </c>
      <c r="AE348" s="15">
        <f>LEFT(AF348,FIND(" ",AF348)-1)</f>
        <v/>
      </c>
      <c r="AF348" s="15">
        <f>IF(OR(O348="-", P348="-"), "-",
IF(MROUND(ABS(O348-P348),0.5)&lt;=0.5,
IF(O348&gt;P348, B348 &amp; " ML", H348 &amp; " ML"),
IF(MROUND(ABS(O348-P348),0.5)=1,
IF(O348&gt;P348, H348 &amp; " +1.5", B348 &amp; " +1.5"),
IF(O348&gt;P348, B348 &amp; " -1.5", H348 &amp; " -1.5")
)
)
)</f>
        <v/>
      </c>
      <c r="AG348" s="15">
        <f>_xlfn.LET(
_xlpm.winA, O348^1.83 / (O348^1.83 + P348^1.83),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49">
      <c r="A349" s="42" t="n">
        <v>46122</v>
      </c>
      <c r="B349" t="inlineStr">
        <is>
          <t>ASTROS</t>
        </is>
      </c>
      <c r="C349">
        <f>VLOOKUP(B349, 'MLB Data'!$B$5:$D$34, 3, FALSE)</f>
        <v/>
      </c>
      <c r="D349" t="inlineStr">
        <is>
          <t>TATSUYA IMAI</t>
        </is>
      </c>
      <c r="E349" t="n">
        <v>2.58</v>
      </c>
      <c r="F349" s="17">
        <f>VLOOKUP(B349, 'MLB Data'!$F$2:$H$34, 3, FALSE)</f>
        <v/>
      </c>
      <c r="G349" s="17">
        <f>IF((E349*0.6+F349*0.4)&lt;2.5, 2.8, IF((E349*0.6+F349*0.4)&gt;5.5, 5.2, (E349*0.6+F349*0.4)))</f>
        <v/>
      </c>
      <c r="H349" t="inlineStr">
        <is>
          <t>MARINERS</t>
        </is>
      </c>
      <c r="I349">
        <f>VLOOKUP(H349, 'MLB Data'!$B$5:$D$34, 3, FALSE)</f>
        <v/>
      </c>
      <c r="J349" t="inlineStr">
        <is>
          <t>EMERSON HANCOCK</t>
        </is>
      </c>
      <c r="K349" t="n">
        <v>2.47</v>
      </c>
      <c r="L349" s="17">
        <f>VLOOKUP(H349, 'MLB Data'!$F$2:$H$34, 3, FALSE)</f>
        <v/>
      </c>
      <c r="M349" s="17">
        <f>IF((K349*0.6+L349*0.4)&lt;2.5, 2.8, IF((K349*0.6+L349*0.4)&gt;5.5, 5.2, (K349*0.6+L349*0.4)))</f>
        <v/>
      </c>
      <c r="O349" s="18">
        <f>(C349/100) * 4.1 * (M349 / 4.2) * T349</f>
        <v/>
      </c>
      <c r="P349" s="18">
        <f>(I349/100) * 4.05 * (G349 / 4.2) * T349</f>
        <v/>
      </c>
      <c r="Q349" s="18">
        <f>(O349+P349)</f>
        <v/>
      </c>
      <c r="S349" s="15">
        <f>H349</f>
        <v/>
      </c>
      <c r="T349" s="19">
        <f>IF(S349="ROCKIES",1.13,IF(S349="ATHLETICS",1.03,IF(S349="ROYALS",1.03,IF(S349="TWINS",1,IF(S349="TIGERS",1,IF(S349="MARLINS",1.01,IF(S349="REDS",1.05,IF(S349="RED SOX",1.04,IF(S349="YANKEES",1.02,IF(S349="DODGERS",0.99,IF(S349="PADRES",0.96,IF(S349="CUBS",0.98,IF(S349="GIANTS",0.97,IF(S349="MARINERS",0.94,IF(S349="RANGERS",1,IF(S349="ASTROS",0.99,IF(S349="BRAVES",1,IF(S349="METS",0.96,IF(S349="PHILLIES",1.02,IF(S349="BLUE JAYS",1.01,IF(S349="ORIOLES",0.99,IF(S349="RAYS",1.01,IF(S349="GUARDIANS",0.99,IF(S349="WHITE SOX",0.98,IF(S349="ANGELS",1.01,IF(S349="D-BACKS",1.01,IF(S349="BREWERS",0.99,IF(S349="CARDINALS",0.96,IF(S349="PIRATES",1.02,IF(S349="NATIONALS",1,1))))))))))))))))))))))))))))))*IF(W349="",1,(1+((W349-70)/10*0.035)))*IF(U349="DOME",1,IF(U349="IN",1-(V349*0.01),IF(U349="OUT",1+(V349*0.01),IF(OR(U349="L-R",U349="R-L"),1+(V349*0.005),1))))</f>
        <v/>
      </c>
      <c r="U349" t="inlineStr">
        <is>
          <t>OUT</t>
        </is>
      </c>
      <c r="V349" t="n">
        <v>5</v>
      </c>
      <c r="W349" t="n">
        <v>62</v>
      </c>
      <c r="Y349">
        <f>B349 &amp; " vs. " &amp; H349</f>
        <v/>
      </c>
      <c r="Z349">
        <f>TRIM(LEFT(Y349, FIND("vs.", Y349)-1))</f>
        <v/>
      </c>
      <c r="AA349">
        <f>TRIM(MID(Y349, FIND(" vs. ", Y349)+4, 100))</f>
        <v/>
      </c>
      <c r="AB349" s="35">
        <f>IF(Q349 &gt; VALUE(AC349), "O " &amp; AC349, IF(Q349 &lt; VALUE(AC349), "U " &amp; AC349, AC349))</f>
        <v/>
      </c>
      <c r="AC349" s="15">
        <f>IF(OR(O349="-", P349="-"), "-", MROUND(O349 + P349, 0.5))</f>
        <v/>
      </c>
      <c r="AD349" s="15">
        <f>VALUE(TRIM(RIGHT(AF349, LEN(AF349) - FIND(" ", AF349))))</f>
        <v/>
      </c>
      <c r="AE349" s="15">
        <f>LEFT(AF349,FIND(" ",AF349)-1)</f>
        <v/>
      </c>
      <c r="AF349" s="15">
        <f>IF(OR(O349="-", P349="-"), "-",
IF(MROUND(ABS(O349-P349),0.5)&lt;=0.5,
IF(O349&gt;P349, B349 &amp; " ML", H349 &amp; " ML"),
IF(MROUND(ABS(O349-P349),0.5)=1,
IF(O349&gt;P349, H349 &amp; " +1.5", B349 &amp; " +1.5"),
IF(O349&gt;P349, B349 &amp; " -1.5", H349 &amp; " -1.5")
)
)
)</f>
        <v/>
      </c>
      <c r="AG349" s="15">
        <f>_xlfn.LET(
_xlpm.winA, O349^1.83 / (O349^1.83 + P349^1.83),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50">
      <c r="A350" s="42" t="n">
        <v>46122</v>
      </c>
      <c r="B350" t="inlineStr">
        <is>
          <t>RANGERS</t>
        </is>
      </c>
      <c r="C350">
        <f>VLOOKUP(B350, 'MLB Data'!$B$5:$D$34, 3, FALSE)</f>
        <v/>
      </c>
      <c r="D350" t="inlineStr">
        <is>
          <t>KUMAR ROCKER</t>
        </is>
      </c>
      <c r="E350" t="n">
        <v>2.58</v>
      </c>
      <c r="F350" s="17">
        <f>VLOOKUP(B350, 'MLB Data'!$F$2:$H$34, 3, FALSE)</f>
        <v/>
      </c>
      <c r="G350" s="17">
        <f>IF((E350*0.6+F350*0.4)&lt;2.5, 2.8, IF((E350*0.6+F350*0.4)&gt;5.5, 5.2, (E350*0.6+F350*0.4)))</f>
        <v/>
      </c>
      <c r="H350" t="inlineStr">
        <is>
          <t>DODGERS</t>
        </is>
      </c>
      <c r="I350">
        <f>VLOOKUP(H350, 'MLB Data'!$B$5:$D$34, 3, FALSE)</f>
        <v/>
      </c>
      <c r="J350" t="inlineStr">
        <is>
          <t>TYLER GLASNOW</t>
        </is>
      </c>
      <c r="K350" t="n">
        <v>1.43</v>
      </c>
      <c r="L350" s="17">
        <f>VLOOKUP(H350, 'MLB Data'!$F$2:$H$34, 3, FALSE)</f>
        <v/>
      </c>
      <c r="M350" s="17">
        <f>IF((K350*0.6+L350*0.4)&lt;2.5, 2.8, IF((K350*0.6+L350*0.4)&gt;5.5, 5.2, (K350*0.6+L350*0.4)))</f>
        <v/>
      </c>
      <c r="O350" s="18">
        <f>(C350/100) * 4.1 * (M350 / 4.2) * T350</f>
        <v/>
      </c>
      <c r="P350" s="18">
        <f>(I350/100) * 4.05 * (G350 / 4.2) * T350</f>
        <v/>
      </c>
      <c r="Q350" s="18">
        <f>(O350+P350)</f>
        <v/>
      </c>
      <c r="S350" s="15">
        <f>H350</f>
        <v/>
      </c>
      <c r="T350" s="19">
        <f>IF(S350="ROCKIES",1.13,IF(S350="ATHLETICS",1.03,IF(S350="ROYALS",1.03,IF(S350="TWINS",1,IF(S350="TIGERS",1,IF(S350="MARLINS",1.01,IF(S350="REDS",1.05,IF(S350="RED SOX",1.04,IF(S350="YANKEES",1.02,IF(S350="DODGERS",0.99,IF(S350="PADRES",0.96,IF(S350="CUBS",0.98,IF(S350="GIANTS",0.97,IF(S350="MARINERS",0.94,IF(S350="RANGERS",1,IF(S350="ASTROS",0.99,IF(S350="BRAVES",1,IF(S350="METS",0.96,IF(S350="PHILLIES",1.02,IF(S350="BLUE JAYS",1.01,IF(S350="ORIOLES",0.99,IF(S350="RAYS",1.01,IF(S350="GUARDIANS",0.99,IF(S350="WHITE SOX",0.98,IF(S350="ANGELS",1.01,IF(S350="D-BACKS",1.01,IF(S350="BREWERS",0.99,IF(S350="CARDINALS",0.96,IF(S350="PIRATES",1.02,IF(S350="NATIONALS",1,1))))))))))))))))))))))))))))))*IF(W350="",1,(1+((W350-70)/10*0.035)))*IF(U350="DOME",1,IF(U350="IN",1-(V350*0.01),IF(U350="OUT",1+(V350*0.01),IF(OR(U350="L-R",U350="R-L"),1+(V350*0.005),1))))</f>
        <v/>
      </c>
      <c r="U350" t="inlineStr">
        <is>
          <t>IN</t>
        </is>
      </c>
      <c r="V350" t="n">
        <v>8</v>
      </c>
      <c r="W350" t="n">
        <v>65</v>
      </c>
      <c r="Y350">
        <f>B350 &amp; " vs. " &amp; H350</f>
        <v/>
      </c>
      <c r="Z350">
        <f>TRIM(LEFT(Y350, FIND("vs.", Y350)-1))</f>
        <v/>
      </c>
      <c r="AA350">
        <f>TRIM(MID(Y350, FIND(" vs. ", Y350)+4, 100))</f>
        <v/>
      </c>
      <c r="AB350" s="35">
        <f>IF(Q350 &gt; VALUE(AC350), "O " &amp; AC350, IF(Q350 &lt; VALUE(AC350), "U " &amp; AC350, AC350))</f>
        <v/>
      </c>
      <c r="AC350" s="15">
        <f>IF(OR(O350="-", P350="-"), "-", MROUND(O350 + P350, 0.5))</f>
        <v/>
      </c>
      <c r="AD350" s="15">
        <f>VALUE(TRIM(RIGHT(AF350, LEN(AF350) - FIND(" ", AF350))))</f>
        <v/>
      </c>
      <c r="AE350" s="15">
        <f>LEFT(AF350,FIND(" ",AF350)-1)</f>
        <v/>
      </c>
      <c r="AF350" s="15">
        <f>IF(OR(O350="-", P350="-"), "-",
IF(MROUND(ABS(O350-P350),0.5)&lt;=0.5,
IF(O350&gt;P350, B350 &amp; " ML", H350 &amp; " ML"),
IF(MROUND(ABS(O350-P350),0.5)=1,
IF(O350&gt;P350, H350 &amp; " +1.5", B350 &amp; " +1.5"),
IF(O350&gt;P350, B350 &amp; " -1.5", H350 &amp; " -1.5")
)
)
)</f>
        <v/>
      </c>
      <c r="AG350" s="15">
        <f>_xlfn.LET(
_xlpm.winA, O350^1.83 / (O350^1.83 + P350^1.83),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51">
      <c r="A351" s="42" t="n">
        <v>46123</v>
      </c>
      <c r="B351" t="inlineStr">
        <is>
          <t>D-BACKS</t>
        </is>
      </c>
      <c r="C351">
        <f>VLOOKUP(B351, 'MLB Data'!$B$5:$D$34, 3, FALSE)</f>
        <v/>
      </c>
      <c r="D351" t="inlineStr">
        <is>
          <t>BRANDON PFAADT</t>
        </is>
      </c>
      <c r="E351" t="n">
        <v>4.27</v>
      </c>
      <c r="F351" s="17">
        <f>VLOOKUP(B351, 'MLB Data'!$F$2:$H$34, 3, FALSE)</f>
        <v/>
      </c>
      <c r="G351" s="17">
        <f>IF((E351*0.6+F351*0.4)&lt;2.5, 2.8, IF((E351*0.6+F351*0.4)&gt;5.5, 5.2, (E351*0.6+F351*0.4)))</f>
        <v/>
      </c>
      <c r="H351" t="inlineStr">
        <is>
          <t>PHILLIES</t>
        </is>
      </c>
      <c r="I351">
        <f>VLOOKUP(H351, 'MLB Data'!$B$5:$D$34, 3, FALSE)</f>
        <v/>
      </c>
      <c r="J351" t="inlineStr">
        <is>
          <t>TAIJUAN WALKER</t>
        </is>
      </c>
      <c r="K351" t="n">
        <v>7.49</v>
      </c>
      <c r="L351" s="17">
        <f>VLOOKUP(H351, 'MLB Data'!$F$2:$H$34, 3, FALSE)</f>
        <v/>
      </c>
      <c r="M351" s="17">
        <f>IF((K351*0.6+L351*0.4)&lt;2.5, 2.8, IF((K351*0.6+L351*0.4)&gt;5.5, 5.2, (K351*0.6+L351*0.4)))</f>
        <v/>
      </c>
      <c r="O351" s="18">
        <f>(C351/100) * 4.1 * (M351 / 4.2) * T351</f>
        <v/>
      </c>
      <c r="P351" s="18">
        <f>(I351/100) * 4.05 * (G351 / 4.2) * T351</f>
        <v/>
      </c>
      <c r="Q351" s="18">
        <f>(O351+P351)</f>
        <v/>
      </c>
      <c r="S351" s="15">
        <f>H351</f>
        <v/>
      </c>
      <c r="T351" s="19">
        <f>IF(S351="ROCKIES",1.13,IF(S351="ATHLETICS",1.03,IF(S351="ROYALS",1.03,IF(S351="TWINS",1,IF(S351="TIGERS",1,IF(S351="MARLINS",1.01,IF(S351="REDS",1.05,IF(S351="RED SOX",1.04,IF(S351="YANKEES",1.02,IF(S351="DODGERS",0.99,IF(S351="PADRES",0.96,IF(S351="CUBS",0.98,IF(S351="GIANTS",0.97,IF(S351="MARINERS",0.94,IF(S351="RANGERS",1,IF(S351="ASTROS",0.99,IF(S351="BRAVES",1,IF(S351="METS",0.96,IF(S351="PHILLIES",1.02,IF(S351="BLUE JAYS",1.01,IF(S351="ORIOLES",0.99,IF(S351="RAYS",1.01,IF(S351="GUARDIANS",0.99,IF(S351="WHITE SOX",0.98,IF(S351="ANGELS",1.01,IF(S351="D-BACKS",1.01,IF(S351="BREWERS",0.99,IF(S351="CARDINALS",0.96,IF(S351="PIRATES",1.02,IF(S351="NATIONALS",1,1))))))))))))))))))))))))))))))*IF(W351="",1,(1+((W351-70)/10*0.035)))*IF(U351="DOME",1,IF(U351="IN",1-(V351*0.01),IF(U351="OUT",1+(V351*0.01),IF(OR(U351="L-R",U351="R-L"),1+(V351*0.005),1))))</f>
        <v/>
      </c>
      <c r="U351" t="inlineStr">
        <is>
          <t>IN</t>
        </is>
      </c>
      <c r="V351" t="n">
        <v>3</v>
      </c>
      <c r="W351" t="n">
        <v>46</v>
      </c>
      <c r="Y351">
        <f>B351 &amp; " vs. " &amp; H351</f>
        <v/>
      </c>
      <c r="Z351">
        <f>TRIM(LEFT(Y351, FIND("vs.", Y351)-1))</f>
        <v/>
      </c>
      <c r="AA351">
        <f>TRIM(MID(Y351, FIND(" vs. ", Y351)+4, 100))</f>
        <v/>
      </c>
      <c r="AB351" s="35">
        <f>IF(Q351 &gt; VALUE(AC351), "O " &amp; AC351, IF(Q351 &lt; VALUE(AC351), "U " &amp; AC351, AC351))</f>
        <v/>
      </c>
      <c r="AC351" s="15">
        <f>IF(OR(O351="-", P351="-"), "-", MROUND(O351 + P351, 0.5))</f>
        <v/>
      </c>
      <c r="AD351" s="15">
        <f>VALUE(TRIM(RIGHT(AF351, LEN(AF351) - FIND(" ", AF351))))</f>
        <v/>
      </c>
      <c r="AE351" s="15">
        <f>LEFT(AF351,FIND(" ",AF351)-1)</f>
        <v/>
      </c>
      <c r="AF351" s="15">
        <f>IF(OR(O351="-", P351="-"), "-",
IF(MROUND(ABS(O351-P351),0.5)&lt;=0.5,
IF(O351&gt;P351, B351 &amp; " ML", H351 &amp; " ML"),
IF(MROUND(ABS(O351-P351),0.5)=1,
IF(O351&gt;P351, H351 &amp; " +1.5", B351 &amp; " +1.5"),
IF(O351&gt;P351, B351 &amp; " -1.5", H351 &amp; " -1.5")
)
)
)</f>
        <v/>
      </c>
      <c r="AG351" s="15">
        <f>_xlfn.LET(
_xlpm.winA, O351^1.83 / (O351^1.83 + P351^1.83),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52">
      <c r="A352" s="42" t="n">
        <v>46123</v>
      </c>
      <c r="B352" t="inlineStr">
        <is>
          <t>MARLINS</t>
        </is>
      </c>
      <c r="C352">
        <f>VLOOKUP(B352, 'MLB Data'!$B$5:$D$34, 3, FALSE)</f>
        <v/>
      </c>
      <c r="D352" t="inlineStr">
        <is>
          <t>JANSON JUNK</t>
        </is>
      </c>
      <c r="E352" t="n">
        <v>3.41</v>
      </c>
      <c r="F352" s="17">
        <f>VLOOKUP(B352, 'MLB Data'!$F$2:$H$34, 3, FALSE)</f>
        <v/>
      </c>
      <c r="G352" s="17">
        <f>IF((E352*0.6+F352*0.4)&lt;2.5, 2.8, IF((E352*0.6+F352*0.4)&gt;5.5, 5.2, (E352*0.6+F352*0.4)))</f>
        <v/>
      </c>
      <c r="H352" t="inlineStr">
        <is>
          <t>TIGERS</t>
        </is>
      </c>
      <c r="I352">
        <f>VLOOKUP(H352, 'MLB Data'!$B$5:$D$34, 3, FALSE)</f>
        <v/>
      </c>
      <c r="J352" t="inlineStr">
        <is>
          <t>CASEY MIZE</t>
        </is>
      </c>
      <c r="K352" t="n">
        <v>4.6</v>
      </c>
      <c r="L352" s="17">
        <f>VLOOKUP(H352, 'MLB Data'!$F$2:$H$34, 3, FALSE)</f>
        <v/>
      </c>
      <c r="M352" s="17">
        <f>IF((K352*0.6+L352*0.4)&lt;2.5, 2.8, IF((K352*0.6+L352*0.4)&gt;5.5, 5.2, (K352*0.6+L352*0.4)))</f>
        <v/>
      </c>
      <c r="O352" s="18">
        <f>(C352/100) * 4.1 * (M352 / 4.2) * T352</f>
        <v/>
      </c>
      <c r="P352" s="18">
        <f>(I352/100) * 4.05 * (G352 / 4.2) * T352</f>
        <v/>
      </c>
      <c r="Q352" s="18">
        <f>(O352+P352)</f>
        <v/>
      </c>
      <c r="S352" s="15">
        <f>H352</f>
        <v/>
      </c>
      <c r="T352" s="19">
        <f>IF(S352="ROCKIES",1.13,IF(S352="ATHLETICS",1.03,IF(S352="ROYALS",1.03,IF(S352="TWINS",1,IF(S352="TIGERS",1,IF(S352="MARLINS",1.01,IF(S352="REDS",1.05,IF(S352="RED SOX",1.04,IF(S352="YANKEES",1.02,IF(S352="DODGERS",0.99,IF(S352="PADRES",0.96,IF(S352="CUBS",0.98,IF(S352="GIANTS",0.97,IF(S352="MARINERS",0.94,IF(S352="RANGERS",1,IF(S352="ASTROS",0.99,IF(S352="BRAVES",1,IF(S352="METS",0.96,IF(S352="PHILLIES",1.02,IF(S352="BLUE JAYS",1.01,IF(S352="ORIOLES",0.99,IF(S352="RAYS",1.01,IF(S352="GUARDIANS",0.99,IF(S352="WHITE SOX",0.98,IF(S352="ANGELS",1.01,IF(S352="D-BACKS",1.01,IF(S352="BREWERS",0.99,IF(S352="CARDINALS",0.96,IF(S352="PIRATES",1.02,IF(S352="NATIONALS",1,1))))))))))))))))))))))))))))))*IF(W352="",1,(1+((W352-70)/10*0.035)))*IF(U352="DOME",1,IF(U352="IN",1-(V352*0.01),IF(U352="OUT",1+(V352*0.01),IF(OR(U352="L-R",U352="R-L"),1+(V352*0.005),1))))</f>
        <v/>
      </c>
      <c r="U352" t="inlineStr">
        <is>
          <t>L-R</t>
        </is>
      </c>
      <c r="V352" t="n">
        <v>5</v>
      </c>
      <c r="W352" t="n">
        <v>44</v>
      </c>
      <c r="Y352">
        <f>B352 &amp; " vs. " &amp; H352</f>
        <v/>
      </c>
      <c r="Z352">
        <f>TRIM(LEFT(Y352, FIND("vs.", Y352)-1))</f>
        <v/>
      </c>
      <c r="AA352">
        <f>TRIM(MID(Y352, FIND(" vs. ", Y352)+4, 100))</f>
        <v/>
      </c>
      <c r="AB352" s="35">
        <f>IF(Q352 &gt; VALUE(AC352), "O " &amp; AC352, IF(Q352 &lt; VALUE(AC352), "U " &amp; AC352, AC352))</f>
        <v/>
      </c>
      <c r="AC352" s="15">
        <f>IF(OR(O352="-", P352="-"), "-", MROUND(O352 + P352, 0.5))</f>
        <v/>
      </c>
      <c r="AD352" s="15">
        <f>VALUE(TRIM(RIGHT(AF352, LEN(AF352) - FIND(" ", AF352))))</f>
        <v/>
      </c>
      <c r="AE352" s="15">
        <f>LEFT(AF352,FIND(" ",AF352)-1)</f>
        <v/>
      </c>
      <c r="AF352" s="15">
        <f>IF(OR(O352="-", P352="-"), "-",
IF(MROUND(ABS(O352-P352),0.5)&lt;=0.5,
IF(O352&gt;P352, B352 &amp; " ML", H352 &amp; " ML"),
IF(MROUND(ABS(O352-P352),0.5)=1,
IF(O352&gt;P352, H352 &amp; " +1.5", B352 &amp; " +1.5"),
IF(O352&gt;P352, B352 &amp; " -1.5", H352 &amp; " -1.5")
)
)
)</f>
        <v/>
      </c>
      <c r="AG352" s="15">
        <f>_xlfn.LET(
_xlpm.winA, O352^1.83 / (O352^1.83 + P352^1.83),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53">
      <c r="A353" s="42" t="n">
        <v>46123</v>
      </c>
      <c r="B353" t="inlineStr">
        <is>
          <t>PIRATES</t>
        </is>
      </c>
      <c r="C353">
        <f>VLOOKUP(B353, 'MLB Data'!$B$5:$D$34, 3, FALSE)</f>
        <v/>
      </c>
      <c r="D353" t="inlineStr">
        <is>
          <t>BRAXTON ASHCRAFT</t>
        </is>
      </c>
      <c r="E353" t="n">
        <v>2.32</v>
      </c>
      <c r="F353" s="17">
        <f>VLOOKUP(B353, 'MLB Data'!$F$2:$H$34, 3, FALSE)</f>
        <v/>
      </c>
      <c r="G353" s="17">
        <f>IF((E353*0.6+F353*0.4)&lt;2.5, 2.8, IF((E353*0.6+F353*0.4)&gt;5.5, 5.2, (E353*0.6+F353*0.4)))</f>
        <v/>
      </c>
      <c r="H353" t="inlineStr">
        <is>
          <t>CUBS</t>
        </is>
      </c>
      <c r="I353">
        <f>VLOOKUP(H353, 'MLB Data'!$B$5:$D$34, 3, FALSE)</f>
        <v/>
      </c>
      <c r="J353" t="inlineStr">
        <is>
          <t>EDWARD CABRERA</t>
        </is>
      </c>
      <c r="K353" t="n">
        <v>3.15</v>
      </c>
      <c r="L353" s="17">
        <f>VLOOKUP(H353, 'MLB Data'!$F$2:$H$34, 3, FALSE)</f>
        <v/>
      </c>
      <c r="M353" s="17">
        <f>IF((K353*0.6+L353*0.4)&lt;2.5, 2.8, IF((K353*0.6+L353*0.4)&gt;5.5, 5.2, (K353*0.6+L353*0.4)))</f>
        <v/>
      </c>
      <c r="O353" s="18">
        <f>(C353/100) * 4.1 * (M353 / 4.2) * T353</f>
        <v/>
      </c>
      <c r="P353" s="18">
        <f>(I353/100) * 4.05 * (G353 / 4.2) * T353</f>
        <v/>
      </c>
      <c r="Q353" s="18">
        <f>(O353+P353)</f>
        <v/>
      </c>
      <c r="S353" s="15">
        <f>H353</f>
        <v/>
      </c>
      <c r="T353" s="19">
        <f>IF(S353="ROCKIES",1.13,IF(S353="ATHLETICS",1.03,IF(S353="ROYALS",1.03,IF(S353="TWINS",1,IF(S353="TIGERS",1,IF(S353="MARLINS",1.01,IF(S353="REDS",1.05,IF(S353="RED SOX",1.04,IF(S353="YANKEES",1.02,IF(S353="DODGERS",0.99,IF(S353="PADRES",0.96,IF(S353="CUBS",0.98,IF(S353="GIANTS",0.97,IF(S353="MARINERS",0.94,IF(S353="RANGERS",1,IF(S353="ASTROS",0.99,IF(S353="BRAVES",1,IF(S353="METS",0.96,IF(S353="PHILLIES",1.02,IF(S353="BLUE JAYS",1.01,IF(S353="ORIOLES",0.99,IF(S353="RAYS",1.01,IF(S353="GUARDIANS",0.99,IF(S353="WHITE SOX",0.98,IF(S353="ANGELS",1.01,IF(S353="D-BACKS",1.01,IF(S353="BREWERS",0.99,IF(S353="CARDINALS",0.96,IF(S353="PIRATES",1.02,IF(S353="NATIONALS",1,1))))))))))))))))))))))))))))))*IF(W353="",1,(1+((W353-70)/10*0.035)))*IF(U353="DOME",1,IF(U353="IN",1-(V353*0.01),IF(U353="OUT",1+(V353*0.01),IF(OR(U353="L-R",U353="R-L"),1+(V353*0.005),1))))</f>
        <v/>
      </c>
      <c r="U353" t="inlineStr">
        <is>
          <t>OUT</t>
        </is>
      </c>
      <c r="V353" t="n">
        <v>9</v>
      </c>
      <c r="W353" t="n">
        <v>47</v>
      </c>
      <c r="Y353">
        <f>B353 &amp; " vs. " &amp; H353</f>
        <v/>
      </c>
      <c r="Z353">
        <f>TRIM(LEFT(Y353, FIND("vs.", Y353)-1))</f>
        <v/>
      </c>
      <c r="AA353">
        <f>TRIM(MID(Y353, FIND(" vs. ", Y353)+4, 100))</f>
        <v/>
      </c>
      <c r="AB353" s="35">
        <f>IF(Q353 &gt; VALUE(AC353), "O " &amp; AC353, IF(Q353 &lt; VALUE(AC353), "U " &amp; AC353, AC353))</f>
        <v/>
      </c>
      <c r="AC353" s="15">
        <f>IF(OR(O353="-", P353="-"), "-", MROUND(O353 + P353, 0.5))</f>
        <v/>
      </c>
      <c r="AD353" s="15">
        <f>VALUE(TRIM(RIGHT(AF353, LEN(AF353) - FIND(" ", AF353))))</f>
        <v/>
      </c>
      <c r="AE353" s="15">
        <f>LEFT(AF353,FIND(" ",AF353)-1)</f>
        <v/>
      </c>
      <c r="AF353" s="15">
        <f>IF(OR(O353="-", P353="-"), "-",
IF(MROUND(ABS(O353-P353),0.5)&lt;=0.5,
IF(O353&gt;P353, B353 &amp; " ML", H353 &amp; " ML"),
IF(MROUND(ABS(O353-P353),0.5)=1,
IF(O353&gt;P353, H353 &amp; " +1.5", B353 &amp; " +1.5"),
IF(O353&gt;P353, B353 &amp; " -1.5", H353 &amp; " -1.5")
)
)
)</f>
        <v/>
      </c>
      <c r="AG353" s="15">
        <f>_xlfn.LET(
_xlpm.winA, O353^1.83 / (O353^1.83 + P353^1.83),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54">
      <c r="A354" s="42" t="n">
        <v>46123</v>
      </c>
      <c r="B354" t="inlineStr">
        <is>
          <t>TWINS</t>
        </is>
      </c>
      <c r="C354">
        <f>VLOOKUP(B354, 'MLB Data'!$B$5:$D$34, 3, FALSE)</f>
        <v/>
      </c>
      <c r="D354" t="inlineStr">
        <is>
          <t>JOE RYAN</t>
        </is>
      </c>
      <c r="E354" t="n">
        <v>2.03</v>
      </c>
      <c r="F354" s="17">
        <f>VLOOKUP(B354, 'MLB Data'!$F$2:$H$34, 3, FALSE)</f>
        <v/>
      </c>
      <c r="G354" s="17">
        <f>IF((E354*0.6+F354*0.4)&lt;2.5, 2.8, IF((E354*0.6+F354*0.4)&gt;5.5, 5.2, (E354*0.6+F354*0.4)))</f>
        <v/>
      </c>
      <c r="H354" t="inlineStr">
        <is>
          <t>BLUE JAYS</t>
        </is>
      </c>
      <c r="I354">
        <f>VLOOKUP(H354, 'MLB Data'!$B$5:$D$34, 3, FALSE)</f>
        <v/>
      </c>
      <c r="J354" t="inlineStr">
        <is>
          <t>ERIC LAUER</t>
        </is>
      </c>
      <c r="K354" t="n">
        <v>4.1</v>
      </c>
      <c r="L354" s="17">
        <f>VLOOKUP(H354, 'MLB Data'!$F$2:$H$34, 3, FALSE)</f>
        <v/>
      </c>
      <c r="M354" s="17">
        <f>IF((K354*0.6+L354*0.4)&lt;2.5, 2.8, IF((K354*0.6+L354*0.4)&gt;5.5, 5.2, (K354*0.6+L354*0.4)))</f>
        <v/>
      </c>
      <c r="O354" s="18">
        <f>(C354/100) * 4.1 * (M354 / 4.2) * T354</f>
        <v/>
      </c>
      <c r="P354" s="18">
        <f>(I354/100) * 4.05 * (G354 / 4.2) * T354</f>
        <v/>
      </c>
      <c r="Q354" s="18">
        <f>(O354+P354)</f>
        <v/>
      </c>
      <c r="S354" s="15">
        <f>H354</f>
        <v/>
      </c>
      <c r="T354" s="19">
        <f>IF(S354="ROCKIES",1.13,IF(S354="ATHLETICS",1.03,IF(S354="ROYALS",1.03,IF(S354="TWINS",1,IF(S354="TIGERS",1,IF(S354="MARLINS",1.01,IF(S354="REDS",1.05,IF(S354="RED SOX",1.04,IF(S354="YANKEES",1.02,IF(S354="DODGERS",0.99,IF(S354="PADRES",0.96,IF(S354="CUBS",0.98,IF(S354="GIANTS",0.97,IF(S354="MARINERS",0.94,IF(S354="RANGERS",1,IF(S354="ASTROS",0.99,IF(S354="BRAVES",1,IF(S354="METS",0.96,IF(S354="PHILLIES",1.02,IF(S354="BLUE JAYS",1.01,IF(S354="ORIOLES",0.99,IF(S354="RAYS",1.01,IF(S354="GUARDIANS",0.99,IF(S354="WHITE SOX",0.98,IF(S354="ANGELS",1.01,IF(S354="D-BACKS",1.01,IF(S354="BREWERS",0.99,IF(S354="CARDINALS",0.96,IF(S354="PIRATES",1.02,IF(S354="NATIONALS",1,1))))))))))))))))))))))))))))))*IF(W354="",1,(1+((W354-70)/10*0.035)))*IF(U354="DOME",1,IF(U354="IN",1-(V354*0.01),IF(U354="OUT",1+(V354*0.01),IF(OR(U354="L-R",U354="R-L"),1+(V354*0.005),1))))</f>
        <v/>
      </c>
      <c r="U354" t="inlineStr">
        <is>
          <t>DOME</t>
        </is>
      </c>
      <c r="V354" t="n">
        <v>0</v>
      </c>
      <c r="Y354">
        <f>B354 &amp; " vs. " &amp; H354</f>
        <v/>
      </c>
      <c r="Z354">
        <f>TRIM(LEFT(Y354, FIND("vs.", Y354)-1))</f>
        <v/>
      </c>
      <c r="AA354">
        <f>TRIM(MID(Y354, FIND(" vs. ", Y354)+4, 100))</f>
        <v/>
      </c>
      <c r="AB354" s="35">
        <f>IF(Q354 &gt; VALUE(AC354), "O " &amp; AC354, IF(Q354 &lt; VALUE(AC354), "U " &amp; AC354, AC354))</f>
        <v/>
      </c>
      <c r="AC354" s="15">
        <f>IF(OR(O354="-", P354="-"), "-", MROUND(O354 + P354, 0.5))</f>
        <v/>
      </c>
      <c r="AD354" s="15">
        <f>VALUE(TRIM(RIGHT(AF354, LEN(AF354) - FIND(" ", AF354))))</f>
        <v/>
      </c>
      <c r="AE354" s="15">
        <f>LEFT(AF354,FIND(" ",AF354)-1)</f>
        <v/>
      </c>
      <c r="AF354" s="15">
        <f>IF(OR(O354="-", P354="-"), "-",
IF(MROUND(ABS(O354-P354),0.5)&lt;=0.5,
IF(O354&gt;P354, B354 &amp; " ML", H354 &amp; " ML"),
IF(MROUND(ABS(O354-P354),0.5)=1,
IF(O354&gt;P354, H354 &amp; " +1.5", B354 &amp; " +1.5"),
IF(O354&gt;P354, B354 &amp; " -1.5", H354 &amp; " -1.5")
)
)
)</f>
        <v/>
      </c>
      <c r="AG354" s="15">
        <f>_xlfn.LET(
_xlpm.winA, O354^1.83 / (O354^1.83 + P354^1.83),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55">
      <c r="A355" s="42" t="n">
        <v>46123</v>
      </c>
      <c r="B355" t="inlineStr">
        <is>
          <t>ANGELS</t>
        </is>
      </c>
      <c r="C355">
        <f>VLOOKUP(B355, 'MLB Data'!$B$5:$D$34, 3, FALSE)</f>
        <v/>
      </c>
      <c r="D355" t="inlineStr">
        <is>
          <t>GEORGE KLASSEN</t>
        </is>
      </c>
      <c r="E355" t="n">
        <v>5.77</v>
      </c>
      <c r="F355" s="17">
        <f>VLOOKUP(B355, 'MLB Data'!$F$2:$H$34, 3, FALSE)</f>
        <v/>
      </c>
      <c r="G355" s="17">
        <f>IF((E355*0.6+F355*0.4)&lt;2.5, 2.8, IF((E355*0.6+F355*0.4)&gt;5.5, 5.2, (E355*0.6+F355*0.4)))</f>
        <v/>
      </c>
      <c r="H355" t="inlineStr">
        <is>
          <t>REDS</t>
        </is>
      </c>
      <c r="I355">
        <f>VLOOKUP(H355, 'MLB Data'!$B$5:$D$34, 3, FALSE)</f>
        <v/>
      </c>
      <c r="J355" t="inlineStr">
        <is>
          <t>BRANDON WILLIAMSON</t>
        </is>
      </c>
      <c r="K355" t="n">
        <v>6.15</v>
      </c>
      <c r="L355" s="17">
        <f>VLOOKUP(H355, 'MLB Data'!$F$2:$H$34, 3, FALSE)</f>
        <v/>
      </c>
      <c r="M355" s="17">
        <f>IF((K355*0.6+L355*0.4)&lt;2.5, 2.8, IF((K355*0.6+L355*0.4)&gt;5.5, 5.2, (K355*0.6+L355*0.4)))</f>
        <v/>
      </c>
      <c r="O355" s="18">
        <f>(C355/100) * 4.1 * (M355 / 4.2) * T355</f>
        <v/>
      </c>
      <c r="P355" s="18">
        <f>(I355/100) * 4.05 * (G355 / 4.2) * T355</f>
        <v/>
      </c>
      <c r="Q355" s="18">
        <f>(O355+P355)</f>
        <v/>
      </c>
      <c r="S355" s="15">
        <f>H355</f>
        <v/>
      </c>
      <c r="T355" s="19">
        <f>IF(S355="ROCKIES",1.13,IF(S355="ATHLETICS",1.03,IF(S355="ROYALS",1.03,IF(S355="TWINS",1,IF(S355="TIGERS",1,IF(S355="MARLINS",1.01,IF(S355="REDS",1.05,IF(S355="RED SOX",1.04,IF(S355="YANKEES",1.02,IF(S355="DODGERS",0.99,IF(S355="PADRES",0.96,IF(S355="CUBS",0.98,IF(S355="GIANTS",0.97,IF(S355="MARINERS",0.94,IF(S355="RANGERS",1,IF(S355="ASTROS",0.99,IF(S355="BRAVES",1,IF(S355="METS",0.96,IF(S355="PHILLIES",1.02,IF(S355="BLUE JAYS",1.01,IF(S355="ORIOLES",0.99,IF(S355="RAYS",1.01,IF(S355="GUARDIANS",0.99,IF(S355="WHITE SOX",0.98,IF(S355="ANGELS",1.01,IF(S355="D-BACKS",1.01,IF(S355="BREWERS",0.99,IF(S355="CARDINALS",0.96,IF(S355="PIRATES",1.02,IF(S355="NATIONALS",1,1))))))))))))))))))))))))))))))*IF(W355="",1,(1+((W355-70)/10*0.035)))*IF(U355="DOME",1,IF(U355="IN",1-(V355*0.01),IF(U355="OUT",1+(V355*0.01),IF(OR(U355="L-R",U355="R-L"),1+(V355*0.005),1))))</f>
        <v/>
      </c>
      <c r="U355" t="inlineStr">
        <is>
          <t>IN</t>
        </is>
      </c>
      <c r="V355" t="n">
        <v>10</v>
      </c>
      <c r="W355" t="n">
        <v>56</v>
      </c>
      <c r="Y355">
        <f>B355 &amp; " vs. " &amp; H355</f>
        <v/>
      </c>
      <c r="Z355">
        <f>TRIM(LEFT(Y355, FIND("vs.", Y355)-1))</f>
        <v/>
      </c>
      <c r="AA355">
        <f>TRIM(MID(Y355, FIND(" vs. ", Y355)+4, 100))</f>
        <v/>
      </c>
      <c r="AB355" s="35">
        <f>IF(Q355 &gt; VALUE(AC355), "O " &amp; AC355, IF(Q355 &lt; VALUE(AC355), "U " &amp; AC355, AC355))</f>
        <v/>
      </c>
      <c r="AC355" s="15">
        <f>IF(OR(O355="-", P355="-"), "-", MROUND(O355 + P355, 0.5))</f>
        <v/>
      </c>
      <c r="AD355" s="15">
        <f>VALUE(TRIM(RIGHT(AF355, LEN(AF355) - FIND(" ", AF355))))</f>
        <v/>
      </c>
      <c r="AE355" s="15">
        <f>LEFT(AF355,FIND(" ",AF355)-1)</f>
        <v/>
      </c>
      <c r="AF355" s="15">
        <f>IF(OR(O355="-", P355="-"), "-",
IF(MROUND(ABS(O355-P355),0.5)&lt;=0.5,
IF(O355&gt;P355, B355 &amp; " ML", H355 &amp; " ML"),
IF(MROUND(ABS(O355-P355),0.5)=1,
IF(O355&gt;P355, H355 &amp; " +1.5", B355 &amp; " +1.5"),
IF(O355&gt;P355, B355 &amp; " -1.5", H355 &amp; " -1.5")
)
)
)</f>
        <v/>
      </c>
      <c r="AG355" s="15">
        <f>_xlfn.LET(
_xlpm.winA, O355^1.83 / (O355^1.83 + P355^1.83),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56">
      <c r="A356" s="42" t="n">
        <v>46123</v>
      </c>
      <c r="B356" t="inlineStr">
        <is>
          <t>ATHLETICS</t>
        </is>
      </c>
      <c r="C356">
        <f>VLOOKUP(B356, 'MLB Data'!$B$5:$D$34, 3, FALSE)</f>
        <v/>
      </c>
      <c r="D356" t="inlineStr">
        <is>
          <t>JACOB LOPEZ</t>
        </is>
      </c>
      <c r="E356" t="n">
        <v>6.87</v>
      </c>
      <c r="F356" s="17">
        <f>VLOOKUP(B356, 'MLB Data'!$F$2:$H$34, 3, FALSE)</f>
        <v/>
      </c>
      <c r="G356" s="17">
        <f>IF((E356*0.6+F356*0.4)&lt;2.5, 2.8, IF((E356*0.6+F356*0.4)&gt;5.5, 5.2, (E356*0.6+F356*0.4)))</f>
        <v/>
      </c>
      <c r="H356" t="inlineStr">
        <is>
          <t>METS</t>
        </is>
      </c>
      <c r="I356">
        <f>VLOOKUP(H356, 'MLB Data'!$B$5:$D$34, 3, FALSE)</f>
        <v/>
      </c>
      <c r="J356" t="inlineStr">
        <is>
          <t>KODAI SENGA</t>
        </is>
      </c>
      <c r="K356" t="n">
        <v>1.69</v>
      </c>
      <c r="L356" s="17">
        <f>VLOOKUP(H356, 'MLB Data'!$F$2:$H$34, 3, FALSE)</f>
        <v/>
      </c>
      <c r="M356" s="17">
        <f>IF((K356*0.6+L356*0.4)&lt;2.5, 2.8, IF((K356*0.6+L356*0.4)&gt;5.5, 5.2, (K356*0.6+L356*0.4)))</f>
        <v/>
      </c>
      <c r="O356" s="18">
        <f>(C356/100) * 4.1 * (M356 / 4.2) * T356</f>
        <v/>
      </c>
      <c r="P356" s="18">
        <f>(I356/100) * 4.05 * (G356 / 4.2) * T356</f>
        <v/>
      </c>
      <c r="Q356" s="18">
        <f>(O356+P356)</f>
        <v/>
      </c>
      <c r="S356" s="15">
        <f>H356</f>
        <v/>
      </c>
      <c r="T356" s="19">
        <f>IF(S356="ROCKIES",1.13,IF(S356="ATHLETICS",1.03,IF(S356="ROYALS",1.03,IF(S356="TWINS",1,IF(S356="TIGERS",1,IF(S356="MARLINS",1.01,IF(S356="REDS",1.05,IF(S356="RED SOX",1.04,IF(S356="YANKEES",1.02,IF(S356="DODGERS",0.99,IF(S356="PADRES",0.96,IF(S356="CUBS",0.98,IF(S356="GIANTS",0.97,IF(S356="MARINERS",0.94,IF(S356="RANGERS",1,IF(S356="ASTROS",0.99,IF(S356="BRAVES",1,IF(S356="METS",0.96,IF(S356="PHILLIES",1.02,IF(S356="BLUE JAYS",1.01,IF(S356="ORIOLES",0.99,IF(S356="RAYS",1.01,IF(S356="GUARDIANS",0.99,IF(S356="WHITE SOX",0.98,IF(S356="ANGELS",1.01,IF(S356="D-BACKS",1.01,IF(S356="BREWERS",0.99,IF(S356="CARDINALS",0.96,IF(S356="PIRATES",1.02,IF(S356="NATIONALS",1,1))))))))))))))))))))))))))))))*IF(W356="",1,(1+((W356-70)/10*0.035)))*IF(U356="DOME",1,IF(U356="IN",1-(V356*0.01),IF(U356="OUT",1+(V356*0.01),IF(OR(U356="L-R",U356="R-L"),1+(V356*0.005),1))))</f>
        <v/>
      </c>
      <c r="U356" t="inlineStr">
        <is>
          <t>IN</t>
        </is>
      </c>
      <c r="V356" t="n">
        <v>7</v>
      </c>
      <c r="W356" t="n">
        <v>43</v>
      </c>
      <c r="Y356">
        <f>B356 &amp; " vs. " &amp; H356</f>
        <v/>
      </c>
      <c r="Z356">
        <f>TRIM(LEFT(Y356, FIND("vs.", Y356)-1))</f>
        <v/>
      </c>
      <c r="AA356">
        <f>TRIM(MID(Y356, FIND(" vs. ", Y356)+4, 100))</f>
        <v/>
      </c>
      <c r="AB356" s="35">
        <f>IF(Q356 &gt; VALUE(AC356), "O " &amp; AC356, IF(Q356 &lt; VALUE(AC356), "U " &amp; AC356, AC356))</f>
        <v/>
      </c>
      <c r="AC356" s="15">
        <f>IF(OR(O356="-", P356="-"), "-", MROUND(O356 + P356, 0.5))</f>
        <v/>
      </c>
      <c r="AD356" s="15">
        <f>VALUE(TRIM(RIGHT(AF356, LEN(AF356) - FIND(" ", AF356))))</f>
        <v/>
      </c>
      <c r="AE356" s="15">
        <f>LEFT(AF356,FIND(" ",AF356)-1)</f>
        <v/>
      </c>
      <c r="AF356" s="15">
        <f>IF(OR(O356="-", P356="-"), "-",
IF(MROUND(ABS(O356-P356),0.5)&lt;=0.5,
IF(O356&gt;P356, B356 &amp; " ML", H356 &amp; " ML"),
IF(MROUND(ABS(O356-P356),0.5)=1,
IF(O356&gt;P356, H356 &amp; " +1.5", B356 &amp; " +1.5"),
IF(O356&gt;P356, B356 &amp; " -1.5", H356 &amp; " -1.5")
)
)
)</f>
        <v/>
      </c>
      <c r="AG356" s="15">
        <f>_xlfn.LET(
_xlpm.winA, O356^1.83 / (O356^1.83 + P356^1.83),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57">
      <c r="A357" s="42" t="n">
        <v>46123</v>
      </c>
      <c r="B357" t="inlineStr">
        <is>
          <t>WHITE SOX</t>
        </is>
      </c>
      <c r="C357">
        <f>VLOOKUP(B357, 'MLB Data'!$B$5:$D$34, 3, FALSE)</f>
        <v/>
      </c>
      <c r="D357" t="inlineStr">
        <is>
          <t>ERICK FEDDE</t>
        </is>
      </c>
      <c r="E357" t="n">
        <v>3.42</v>
      </c>
      <c r="F357" s="17">
        <f>VLOOKUP(B357, 'MLB Data'!$F$2:$H$34, 3, FALSE)</f>
        <v/>
      </c>
      <c r="G357" s="17">
        <f>IF((E357*0.6+F357*0.4)&lt;2.5, 2.8, IF((E357*0.6+F357*0.4)&gt;5.5, 5.2, (E357*0.6+F357*0.4)))</f>
        <v/>
      </c>
      <c r="H357" t="inlineStr">
        <is>
          <t>ROYALS</t>
        </is>
      </c>
      <c r="I357">
        <f>VLOOKUP(H357, 'MLB Data'!$B$5:$D$34, 3, FALSE)</f>
        <v/>
      </c>
      <c r="J357" t="inlineStr">
        <is>
          <t>MICHAEL WACHA</t>
        </is>
      </c>
      <c r="K357" t="n">
        <v>3.76</v>
      </c>
      <c r="L357" s="17">
        <f>VLOOKUP(H357, 'MLB Data'!$F$2:$H$34, 3, FALSE)</f>
        <v/>
      </c>
      <c r="M357" s="17">
        <f>IF((K357*0.6+L357*0.4)&lt;2.5, 2.8, IF((K357*0.6+L357*0.4)&gt;5.5, 5.2, (K357*0.6+L357*0.4)))</f>
        <v/>
      </c>
      <c r="O357" s="18">
        <f>(C357/100) * 4.1 * (M357 / 4.2) * T357</f>
        <v/>
      </c>
      <c r="P357" s="18">
        <f>(I357/100) * 4.05 * (G357 / 4.2) * T357</f>
        <v/>
      </c>
      <c r="Q357" s="18">
        <f>(O357+P357)</f>
        <v/>
      </c>
      <c r="S357" s="15">
        <f>H357</f>
        <v/>
      </c>
      <c r="T357" s="19">
        <f>IF(S357="ROCKIES",1.13,IF(S357="ATHLETICS",1.03,IF(S357="ROYALS",1.03,IF(S357="TWINS",1,IF(S357="TIGERS",1,IF(S357="MARLINS",1.01,IF(S357="REDS",1.05,IF(S357="RED SOX",1.04,IF(S357="YANKEES",1.02,IF(S357="DODGERS",0.99,IF(S357="PADRES",0.96,IF(S357="CUBS",0.98,IF(S357="GIANTS",0.97,IF(S357="MARINERS",0.94,IF(S357="RANGERS",1,IF(S357="ASTROS",0.99,IF(S357="BRAVES",1,IF(S357="METS",0.96,IF(S357="PHILLIES",1.02,IF(S357="BLUE JAYS",1.01,IF(S357="ORIOLES",0.99,IF(S357="RAYS",1.01,IF(S357="GUARDIANS",0.99,IF(S357="WHITE SOX",0.98,IF(S357="ANGELS",1.01,IF(S357="D-BACKS",1.01,IF(S357="BREWERS",0.99,IF(S357="CARDINALS",0.96,IF(S357="PIRATES",1.02,IF(S357="NATIONALS",1,1))))))))))))))))))))))))))))))*IF(W357="",1,(1+((W357-70)/10*0.035)))*IF(U357="DOME",1,IF(U357="IN",1-(V357*0.01),IF(U357="OUT",1+(V357*0.01),IF(OR(U357="L-R",U357="R-L"),1+(V357*0.005),1))))</f>
        <v/>
      </c>
      <c r="U357" t="inlineStr">
        <is>
          <t>OUT</t>
        </is>
      </c>
      <c r="V357" t="n">
        <v>2</v>
      </c>
      <c r="W357" t="n">
        <v>57</v>
      </c>
      <c r="Y357">
        <f>B357 &amp; " vs. " &amp; H357</f>
        <v/>
      </c>
      <c r="Z357">
        <f>TRIM(LEFT(Y357, FIND("vs.", Y357)-1))</f>
        <v/>
      </c>
      <c r="AA357">
        <f>TRIM(MID(Y357, FIND(" vs. ", Y357)+4, 100))</f>
        <v/>
      </c>
      <c r="AB357" s="35">
        <f>IF(Q357 &gt; VALUE(AC357), "O " &amp; AC357, IF(Q357 &lt; VALUE(AC357), "U " &amp; AC357, AC357))</f>
        <v/>
      </c>
      <c r="AC357" s="15">
        <f>IF(OR(O357="-", P357="-"), "-", MROUND(O357 + P357, 0.5))</f>
        <v/>
      </c>
      <c r="AD357" s="15">
        <f>VALUE(TRIM(RIGHT(AF357, LEN(AF357) - FIND(" ", AF357))))</f>
        <v/>
      </c>
      <c r="AE357" s="15">
        <f>LEFT(AF357,FIND(" ",AF357)-1)</f>
        <v/>
      </c>
      <c r="AF357" s="15">
        <f>IF(OR(O357="-", P357="-"), "-",
IF(MROUND(ABS(O357-P357),0.5)&lt;=0.5,
IF(O357&gt;P357, B357 &amp; " ML", H357 &amp; " ML"),
IF(MROUND(ABS(O357-P357),0.5)=1,
IF(O357&gt;P357, H357 &amp; " +1.5", B357 &amp; " +1.5"),
IF(O357&gt;P357, B357 &amp; " -1.5", H357 &amp; " -1.5")
)
)
)</f>
        <v/>
      </c>
      <c r="AG357" s="15">
        <f>_xlfn.LET(
_xlpm.winA, O357^1.83 / (O357^1.83 + P357^1.83),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58">
      <c r="A358" s="42" t="n">
        <v>46123</v>
      </c>
      <c r="B358" t="inlineStr">
        <is>
          <t>YANKEES</t>
        </is>
      </c>
      <c r="C358">
        <f>VLOOKUP(B358, 'MLB Data'!$B$5:$D$34, 3, FALSE)</f>
        <v/>
      </c>
      <c r="D358" t="inlineStr">
        <is>
          <t>MAX FRIED</t>
        </is>
      </c>
      <c r="E358" t="n">
        <v>2.8</v>
      </c>
      <c r="F358" s="17">
        <f>VLOOKUP(B358, 'MLB Data'!$F$2:$H$34, 3, FALSE)</f>
        <v/>
      </c>
      <c r="G358" s="17">
        <f>IF((E358*0.6+F358*0.4)&lt;2.5, 2.8, IF((E358*0.6+F358*0.4)&gt;5.5, 5.2, (E358*0.6+F358*0.4)))</f>
        <v/>
      </c>
      <c r="H358" t="inlineStr">
        <is>
          <t>RAYS</t>
        </is>
      </c>
      <c r="I358">
        <f>VLOOKUP(H358, 'MLB Data'!$B$5:$D$34, 3, FALSE)</f>
        <v/>
      </c>
      <c r="J358" t="inlineStr">
        <is>
          <t>NICK MARTINEZ</t>
        </is>
      </c>
      <c r="K358" t="n">
        <v>4.4</v>
      </c>
      <c r="L358" s="17">
        <f>VLOOKUP(H358, 'MLB Data'!$F$2:$H$34, 3, FALSE)</f>
        <v/>
      </c>
      <c r="M358" s="17">
        <f>IF((K358*0.6+L358*0.4)&lt;2.5, 2.8, IF((K358*0.6+L358*0.4)&gt;5.5, 5.2, (K358*0.6+L358*0.4)))</f>
        <v/>
      </c>
      <c r="O358" s="18">
        <f>(C358/100) * 4.1 * (M358 / 4.2) * T358</f>
        <v/>
      </c>
      <c r="P358" s="18">
        <f>(I358/100) * 4.05 * (G358 / 4.2) * T358</f>
        <v/>
      </c>
      <c r="Q358" s="18">
        <f>(O358+P358)</f>
        <v/>
      </c>
      <c r="S358" s="15">
        <f>H358</f>
        <v/>
      </c>
      <c r="T358" s="19">
        <f>IF(S358="ROCKIES",1.13,IF(S358="ATHLETICS",1.03,IF(S358="ROYALS",1.03,IF(S358="TWINS",1,IF(S358="TIGERS",1,IF(S358="MARLINS",1.01,IF(S358="REDS",1.05,IF(S358="RED SOX",1.04,IF(S358="YANKEES",1.02,IF(S358="DODGERS",0.99,IF(S358="PADRES",0.96,IF(S358="CUBS",0.98,IF(S358="GIANTS",0.97,IF(S358="MARINERS",0.94,IF(S358="RANGERS",1,IF(S358="ASTROS",0.99,IF(S358="BRAVES",1,IF(S358="METS",0.96,IF(S358="PHILLIES",1.02,IF(S358="BLUE JAYS",1.01,IF(S358="ORIOLES",0.99,IF(S358="RAYS",1.01,IF(S358="GUARDIANS",0.99,IF(S358="WHITE SOX",0.98,IF(S358="ANGELS",1.01,IF(S358="D-BACKS",1.01,IF(S358="BREWERS",0.99,IF(S358="CARDINALS",0.96,IF(S358="PIRATES",1.02,IF(S358="NATIONALS",1,1))))))))))))))))))))))))))))))*IF(W358="",1,(1+((W358-70)/10*0.035)))*IF(U358="DOME",1,IF(U358="IN",1-(V358*0.01),IF(U358="OUT",1+(V358*0.01),IF(OR(U358="L-R",U358="R-L"),1+(V358*0.005),1))))</f>
        <v/>
      </c>
      <c r="U358" t="inlineStr">
        <is>
          <t>DOME</t>
        </is>
      </c>
      <c r="V358" t="n">
        <v>0</v>
      </c>
      <c r="Y358">
        <f>B358 &amp; " vs. " &amp; H358</f>
        <v/>
      </c>
      <c r="Z358">
        <f>TRIM(LEFT(Y358, FIND("vs.", Y358)-1))</f>
        <v/>
      </c>
      <c r="AA358">
        <f>TRIM(MID(Y358, FIND(" vs. ", Y358)+4, 100))</f>
        <v/>
      </c>
      <c r="AB358" s="35">
        <f>IF(Q358 &gt; VALUE(AC358), "O " &amp; AC358, IF(Q358 &lt; VALUE(AC358), "U " &amp; AC358, AC358))</f>
        <v/>
      </c>
      <c r="AC358" s="15">
        <f>IF(OR(O358="-", P358="-"), "-", MROUND(O358 + P358, 0.5))</f>
        <v/>
      </c>
      <c r="AD358" s="15">
        <f>VALUE(TRIM(RIGHT(AF358, LEN(AF358) - FIND(" ", AF358))))</f>
        <v/>
      </c>
      <c r="AE358" s="15">
        <f>LEFT(AF358,FIND(" ",AF358)-1)</f>
        <v/>
      </c>
      <c r="AF358" s="15">
        <f>IF(OR(O358="-", P358="-"), "-",
IF(MROUND(ABS(O358-P358),0.5)&lt;=0.5,
IF(O358&gt;P358, B358 &amp; " ML", H358 &amp; " ML"),
IF(MROUND(ABS(O358-P358),0.5)=1,
IF(O358&gt;P358, H358 &amp; " +1.5", B358 &amp; " +1.5"),
IF(O358&gt;P358, B358 &amp; " -1.5", H358 &amp; " -1.5")
)
)
)</f>
        <v/>
      </c>
      <c r="AG358" s="15">
        <f>_xlfn.LET(
_xlpm.winA, O358^1.83 / (O358^1.83 + P358^1.83),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59">
      <c r="A359" s="42" t="n">
        <v>46123</v>
      </c>
      <c r="B359" t="inlineStr">
        <is>
          <t>NATIONALS</t>
        </is>
      </c>
      <c r="C359">
        <f>VLOOKUP(B359, 'MLB Data'!$B$5:$D$34, 3, FALSE)</f>
        <v/>
      </c>
      <c r="D359" t="inlineStr">
        <is>
          <t>FOSTER GRIFFIN</t>
        </is>
      </c>
      <c r="E359" t="n">
        <v>4.75</v>
      </c>
      <c r="F359" s="17">
        <f>VLOOKUP(B359, 'MLB Data'!$F$2:$H$34, 3, FALSE)</f>
        <v/>
      </c>
      <c r="G359" s="17">
        <f>IF((E359*0.6+F359*0.4)&lt;2.5, 2.8, IF((E359*0.6+F359*0.4)&gt;5.5, 5.2, (E359*0.6+F359*0.4)))</f>
        <v/>
      </c>
      <c r="H359" t="inlineStr">
        <is>
          <t>BREWERS</t>
        </is>
      </c>
      <c r="I359">
        <f>VLOOKUP(H359, 'MLB Data'!$B$5:$D$34, 3, FALSE)</f>
        <v/>
      </c>
      <c r="J359" t="inlineStr">
        <is>
          <t>KYLE HARRISON</t>
        </is>
      </c>
      <c r="K359" t="n">
        <v>4.12</v>
      </c>
      <c r="L359" s="17">
        <f>VLOOKUP(H359, 'MLB Data'!$F$2:$H$34, 3, FALSE)</f>
        <v/>
      </c>
      <c r="M359" s="17">
        <f>IF((K359*0.6+L359*0.4)&lt;2.5, 2.8, IF((K359*0.6+L359*0.4)&gt;5.5, 5.2, (K359*0.6+L359*0.4)))</f>
        <v/>
      </c>
      <c r="O359" s="18">
        <f>(C359/100) * 4.1 * (M359 / 4.2) * T359</f>
        <v/>
      </c>
      <c r="P359" s="18">
        <f>(I359/100) * 4.05 * (G359 / 4.2) * T359</f>
        <v/>
      </c>
      <c r="Q359" s="18">
        <f>(O359+P359)</f>
        <v/>
      </c>
      <c r="S359" s="15">
        <f>H359</f>
        <v/>
      </c>
      <c r="T359" s="19">
        <f>IF(S359="ROCKIES",1.13,IF(S359="ATHLETICS",1.03,IF(S359="ROYALS",1.03,IF(S359="TWINS",1,IF(S359="TIGERS",1,IF(S359="MARLINS",1.01,IF(S359="REDS",1.05,IF(S359="RED SOX",1.04,IF(S359="YANKEES",1.02,IF(S359="DODGERS",0.99,IF(S359="PADRES",0.96,IF(S359="CUBS",0.98,IF(S359="GIANTS",0.97,IF(S359="MARINERS",0.94,IF(S359="RANGERS",1,IF(S359="ASTROS",0.99,IF(S359="BRAVES",1,IF(S359="METS",0.96,IF(S359="PHILLIES",1.02,IF(S359="BLUE JAYS",1.01,IF(S359="ORIOLES",0.99,IF(S359="RAYS",1.01,IF(S359="GUARDIANS",0.99,IF(S359="WHITE SOX",0.98,IF(S359="ANGELS",1.01,IF(S359="D-BACKS",1.01,IF(S359="BREWERS",0.99,IF(S359="CARDINALS",0.96,IF(S359="PIRATES",1.02,IF(S359="NATIONALS",1,1))))))))))))))))))))))))))))))*IF(W359="",1,(1+((W359-70)/10*0.035)))*IF(U359="DOME",1,IF(U359="IN",1-(V359*0.01),IF(U359="OUT",1+(V359*0.01),IF(OR(U359="L-R",U359="R-L"),1+(V359*0.005),1))))</f>
        <v/>
      </c>
      <c r="U359" t="inlineStr">
        <is>
          <t>DOME</t>
        </is>
      </c>
      <c r="V359" t="n">
        <v>0</v>
      </c>
      <c r="Y359">
        <f>B359 &amp; " vs. " &amp; H359</f>
        <v/>
      </c>
      <c r="Z359">
        <f>TRIM(LEFT(Y359, FIND("vs.", Y359)-1))</f>
        <v/>
      </c>
      <c r="AA359">
        <f>TRIM(MID(Y359, FIND(" vs. ", Y359)+4, 100))</f>
        <v/>
      </c>
      <c r="AB359" s="35">
        <f>IF(Q359 &gt; VALUE(AC359), "O " &amp; AC359, IF(Q359 &lt; VALUE(AC359), "U " &amp; AC359, AC359))</f>
        <v/>
      </c>
      <c r="AC359" s="15">
        <f>IF(OR(O359="-", P359="-"), "-", MROUND(O359 + P359, 0.5))</f>
        <v/>
      </c>
      <c r="AD359" s="15">
        <f>VALUE(TRIM(RIGHT(AF359, LEN(AF359) - FIND(" ", AF359))))</f>
        <v/>
      </c>
      <c r="AE359" s="15">
        <f>LEFT(AF359,FIND(" ",AF359)-1)</f>
        <v/>
      </c>
      <c r="AF359" s="15">
        <f>IF(OR(O359="-", P359="-"), "-",
IF(MROUND(ABS(O359-P359),0.5)&lt;=0.5,
IF(O359&gt;P359, B359 &amp; " ML", H359 &amp; " ML"),
IF(MROUND(ABS(O359-P359),0.5)=1,
IF(O359&gt;P359, H359 &amp; " +1.5", B359 &amp; " +1.5"),
IF(O359&gt;P359, B359 &amp; " -1.5", H359 &amp; " -1.5")
)
)
)</f>
        <v/>
      </c>
      <c r="AG359" s="15">
        <f>_xlfn.LET(
_xlpm.winA, O359^1.83 / (O359^1.83 + P359^1.83),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60">
      <c r="A360" s="42" t="n">
        <v>46123</v>
      </c>
      <c r="B360" t="inlineStr">
        <is>
          <t>GIANTS</t>
        </is>
      </c>
      <c r="C360">
        <f>VLOOKUP(B360, 'MLB Data'!$B$5:$D$34, 3, FALSE)</f>
        <v/>
      </c>
      <c r="D360" t="inlineStr">
        <is>
          <t>LOGAN WEBB</t>
        </is>
      </c>
      <c r="E360" t="n">
        <v>2.65</v>
      </c>
      <c r="F360" s="17">
        <f>VLOOKUP(B360, 'MLB Data'!$F$2:$H$34, 3, FALSE)</f>
        <v/>
      </c>
      <c r="G360" s="17">
        <f>IF((E360*0.6+F360*0.4)&lt;2.5, 2.8, IF((E360*0.6+F360*0.4)&gt;5.5, 5.2, (E360*0.6+F360*0.4)))</f>
        <v/>
      </c>
      <c r="H360" t="inlineStr">
        <is>
          <t>ORIOLES</t>
        </is>
      </c>
      <c r="I360">
        <f>VLOOKUP(H360, 'MLB Data'!$B$5:$D$34, 3, FALSE)</f>
        <v/>
      </c>
      <c r="J360" t="inlineStr">
        <is>
          <t>CHRIS BASSITT</t>
        </is>
      </c>
      <c r="K360" t="n">
        <v>8.52</v>
      </c>
      <c r="L360" s="17">
        <f>VLOOKUP(H360, 'MLB Data'!$F$2:$H$34, 3, FALSE)</f>
        <v/>
      </c>
      <c r="M360" s="17">
        <f>IF((K360*0.6+L360*0.4)&lt;2.5, 2.8, IF((K360*0.6+L360*0.4)&gt;5.5, 5.2, (K360*0.6+L360*0.4)))</f>
        <v/>
      </c>
      <c r="O360" s="18">
        <f>(C360/100) * 4.1 * (M360 / 4.2) * T360</f>
        <v/>
      </c>
      <c r="P360" s="18">
        <f>(I360/100) * 4.05 * (G360 / 4.2) * T360</f>
        <v/>
      </c>
      <c r="Q360" s="18">
        <f>(O360+P360)</f>
        <v/>
      </c>
      <c r="S360" s="15">
        <f>H360</f>
        <v/>
      </c>
      <c r="T360" s="19">
        <f>IF(S360="ROCKIES",1.13,IF(S360="ATHLETICS",1.03,IF(S360="ROYALS",1.03,IF(S360="TWINS",1,IF(S360="TIGERS",1,IF(S360="MARLINS",1.01,IF(S360="REDS",1.05,IF(S360="RED SOX",1.04,IF(S360="YANKEES",1.02,IF(S360="DODGERS",0.99,IF(S360="PADRES",0.96,IF(S360="CUBS",0.98,IF(S360="GIANTS",0.97,IF(S360="MARINERS",0.94,IF(S360="RANGERS",1,IF(S360="ASTROS",0.99,IF(S360="BRAVES",1,IF(S360="METS",0.96,IF(S360="PHILLIES",1.02,IF(S360="BLUE JAYS",1.01,IF(S360="ORIOLES",0.99,IF(S360="RAYS",1.01,IF(S360="GUARDIANS",0.99,IF(S360="WHITE SOX",0.98,IF(S360="ANGELS",1.01,IF(S360="D-BACKS",1.01,IF(S360="BREWERS",0.99,IF(S360="CARDINALS",0.96,IF(S360="PIRATES",1.02,IF(S360="NATIONALS",1,1))))))))))))))))))))))))))))))*IF(W360="",1,(1+((W360-70)/10*0.035)))*IF(U360="DOME",1,IF(U360="IN",1-(V360*0.01),IF(U360="OUT",1+(V360*0.01),IF(OR(U360="L-R",U360="R-L"),1+(V360*0.005),1))))</f>
        <v/>
      </c>
      <c r="U360" t="inlineStr">
        <is>
          <t>IN</t>
        </is>
      </c>
      <c r="V360" t="n">
        <v>5</v>
      </c>
      <c r="W360" t="n">
        <v>49</v>
      </c>
      <c r="Y360">
        <f>B360 &amp; " vs. " &amp; H360</f>
        <v/>
      </c>
      <c r="Z360">
        <f>TRIM(LEFT(Y360, FIND("vs.", Y360)-1))</f>
        <v/>
      </c>
      <c r="AA360">
        <f>TRIM(MID(Y360, FIND(" vs. ", Y360)+4, 100))</f>
        <v/>
      </c>
      <c r="AB360" s="35">
        <f>IF(Q360 &gt; VALUE(AC360), "O " &amp; AC360, IF(Q360 &lt; VALUE(AC360), "U " &amp; AC360, AC360))</f>
        <v/>
      </c>
      <c r="AC360" s="15">
        <f>IF(OR(O360="-", P360="-"), "-", MROUND(O360 + P360, 0.5))</f>
        <v/>
      </c>
      <c r="AD360" s="15">
        <f>VALUE(TRIM(RIGHT(AF360, LEN(AF360) - FIND(" ", AF360))))</f>
        <v/>
      </c>
      <c r="AE360" s="15">
        <f>LEFT(AF360,FIND(" ",AF360)-1)</f>
        <v/>
      </c>
      <c r="AF360" s="15">
        <f>IF(OR(O360="-", P360="-"), "-",
IF(MROUND(ABS(O360-P360),0.5)&lt;=0.5,
IF(O360&gt;P360, B360 &amp; " ML", H360 &amp; " ML"),
IF(MROUND(ABS(O360-P360),0.5)=1,
IF(O360&gt;P360, H360 &amp; " +1.5", B360 &amp; " +1.5"),
IF(O360&gt;P360, B360 &amp; " -1.5", H360 &amp; " -1.5")
)
)
)</f>
        <v/>
      </c>
      <c r="AG360" s="15">
        <f>_xlfn.LET(
_xlpm.winA, O360^1.83 / (O360^1.83 + P360^1.83),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61">
      <c r="A361" s="42" t="n">
        <v>46123</v>
      </c>
      <c r="B361" t="inlineStr">
        <is>
          <t>RED SOX</t>
        </is>
      </c>
      <c r="C361">
        <f>VLOOKUP(B361, 'MLB Data'!$B$5:$D$34, 3, FALSE)</f>
        <v/>
      </c>
      <c r="D361" t="inlineStr">
        <is>
          <t>RANGER SUAREZ</t>
        </is>
      </c>
      <c r="E361" t="n">
        <v>6.15</v>
      </c>
      <c r="F361" s="17">
        <f>VLOOKUP(B361, 'MLB Data'!$F$2:$H$34, 3, FALSE)</f>
        <v/>
      </c>
      <c r="G361" s="17">
        <f>IF((E361*0.6+F361*0.4)&lt;2.5, 2.8, IF((E361*0.6+F361*0.4)&gt;5.5, 5.2, (E361*0.6+F361*0.4)))</f>
        <v/>
      </c>
      <c r="H361" t="inlineStr">
        <is>
          <t>CARDINALS</t>
        </is>
      </c>
      <c r="I361">
        <f>VLOOKUP(H361, 'MLB Data'!$B$5:$D$34, 3, FALSE)</f>
        <v/>
      </c>
      <c r="J361" t="inlineStr">
        <is>
          <t>KYLE LEAHY</t>
        </is>
      </c>
      <c r="K361" t="n">
        <v>4.95</v>
      </c>
      <c r="L361" s="17">
        <f>VLOOKUP(H361, 'MLB Data'!$F$2:$H$34, 3, FALSE)</f>
        <v/>
      </c>
      <c r="M361" s="17">
        <f>IF((K361*0.6+L361*0.4)&lt;2.5, 2.8, IF((K361*0.6+L361*0.4)&gt;5.5, 5.2, (K361*0.6+L361*0.4)))</f>
        <v/>
      </c>
      <c r="O361" s="18">
        <f>(C361/100) * 4.1 * (M361 / 4.2) * T361</f>
        <v/>
      </c>
      <c r="P361" s="18">
        <f>(I361/100) * 4.05 * (G361 / 4.2) * T361</f>
        <v/>
      </c>
      <c r="Q361" s="18">
        <f>(O361+P361)</f>
        <v/>
      </c>
      <c r="S361" s="15">
        <f>H361</f>
        <v/>
      </c>
      <c r="T361" s="19">
        <f>IF(S361="ROCKIES",1.13,IF(S361="ATHLETICS",1.03,IF(S361="ROYALS",1.03,IF(S361="TWINS",1,IF(S361="TIGERS",1,IF(S361="MARLINS",1.01,IF(S361="REDS",1.05,IF(S361="RED SOX",1.04,IF(S361="YANKEES",1.02,IF(S361="DODGERS",0.99,IF(S361="PADRES",0.96,IF(S361="CUBS",0.98,IF(S361="GIANTS",0.97,IF(S361="MARINERS",0.94,IF(S361="RANGERS",1,IF(S361="ASTROS",0.99,IF(S361="BRAVES",1,IF(S361="METS",0.96,IF(S361="PHILLIES",1.02,IF(S361="BLUE JAYS",1.01,IF(S361="ORIOLES",0.99,IF(S361="RAYS",1.01,IF(S361="GUARDIANS",0.99,IF(S361="WHITE SOX",0.98,IF(S361="ANGELS",1.01,IF(S361="D-BACKS",1.01,IF(S361="BREWERS",0.99,IF(S361="CARDINALS",0.96,IF(S361="PIRATES",1.02,IF(S361="NATIONALS",1,1))))))))))))))))))))))))))))))*IF(W361="",1,(1+((W361-70)/10*0.035)))*IF(U361="DOME",1,IF(U361="IN",1-(V361*0.01),IF(U361="OUT",1+(V361*0.01),IF(OR(U361="L-R",U361="R-L"),1+(V361*0.005),1))))</f>
        <v/>
      </c>
      <c r="U361" t="inlineStr">
        <is>
          <t>IN</t>
        </is>
      </c>
      <c r="V361" t="n">
        <v>11</v>
      </c>
      <c r="W361" t="n">
        <v>65</v>
      </c>
      <c r="Y361">
        <f>B361 &amp; " vs. " &amp; H361</f>
        <v/>
      </c>
      <c r="Z361">
        <f>TRIM(LEFT(Y361, FIND("vs.", Y361)-1))</f>
        <v/>
      </c>
      <c r="AA361">
        <f>TRIM(MID(Y361, FIND(" vs. ", Y361)+4, 100))</f>
        <v/>
      </c>
      <c r="AB361" s="35">
        <f>IF(Q361 &gt; VALUE(AC361), "O " &amp; AC361, IF(Q361 &lt; VALUE(AC361), "U " &amp; AC361, AC361))</f>
        <v/>
      </c>
      <c r="AC361" s="15">
        <f>IF(OR(O361="-", P361="-"), "-", MROUND(O361 + P361, 0.5))</f>
        <v/>
      </c>
      <c r="AD361" s="15">
        <f>VALUE(TRIM(RIGHT(AF361, LEN(AF361) - FIND(" ", AF361))))</f>
        <v/>
      </c>
      <c r="AE361" s="15">
        <f>LEFT(AF361,FIND(" ",AF361)-1)</f>
        <v/>
      </c>
      <c r="AF361" s="15">
        <f>IF(OR(O361="-", P361="-"), "-",
IF(MROUND(ABS(O361-P361),0.5)&lt;=0.5,
IF(O361&gt;P361, B361 &amp; " ML", H361 &amp; " ML"),
IF(MROUND(ABS(O361-P361),0.5)=1,
IF(O361&gt;P361, H361 &amp; " +1.5", B361 &amp; " +1.5"),
IF(O361&gt;P361, B361 &amp; " -1.5", H361 &amp; " -1.5")
)
)
)</f>
        <v/>
      </c>
      <c r="AG361" s="15">
        <f>_xlfn.LET(
_xlpm.winA, O361^1.83 / (O361^1.83 + P361^1.83),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62">
      <c r="A362" s="42" t="n">
        <v>46123</v>
      </c>
      <c r="B362" t="inlineStr">
        <is>
          <t>GUARDIANS</t>
        </is>
      </c>
      <c r="C362">
        <f>VLOOKUP(B362, 'MLB Data'!$B$5:$D$34, 3, FALSE)</f>
        <v/>
      </c>
      <c r="D362" t="inlineStr">
        <is>
          <t>PARKER MESSICK</t>
        </is>
      </c>
      <c r="E362" t="n">
        <v>3.15</v>
      </c>
      <c r="F362" s="17">
        <f>VLOOKUP(B362, 'MLB Data'!$F$2:$H$34, 3, FALSE)</f>
        <v/>
      </c>
      <c r="G362" s="17">
        <f>IF((E362*0.6+F362*0.4)&lt;2.5, 2.8, IF((E362*0.6+F362*0.4)&gt;5.5, 5.2, (E362*0.6+F362*0.4)))</f>
        <v/>
      </c>
      <c r="H362" t="inlineStr">
        <is>
          <t>BRAVES</t>
        </is>
      </c>
      <c r="I362">
        <f>VLOOKUP(H362, 'MLB Data'!$B$5:$D$34, 3, FALSE)</f>
        <v/>
      </c>
      <c r="J362" t="inlineStr">
        <is>
          <t>MARTÍN PÉREZ</t>
        </is>
      </c>
      <c r="K362" t="n">
        <v>2.61</v>
      </c>
      <c r="L362" s="17">
        <f>VLOOKUP(H362, 'MLB Data'!$F$2:$H$34, 3, FALSE)</f>
        <v/>
      </c>
      <c r="M362" s="17">
        <f>IF((K362*0.6+L362*0.4)&lt;2.5, 2.8, IF((K362*0.6+L362*0.4)&gt;5.5, 5.2, (K362*0.6+L362*0.4)))</f>
        <v/>
      </c>
      <c r="O362" s="18">
        <f>(C362/100) * 4.1 * (M362 / 4.2) * T362</f>
        <v/>
      </c>
      <c r="P362" s="18">
        <f>(I362/100) * 4.05 * (G362 / 4.2) * T362</f>
        <v/>
      </c>
      <c r="Q362" s="18">
        <f>(O362+P362)</f>
        <v/>
      </c>
      <c r="S362" s="15">
        <f>H362</f>
        <v/>
      </c>
      <c r="T362" s="19">
        <f>IF(S362="ROCKIES",1.13,IF(S362="ATHLETICS",1.03,IF(S362="ROYALS",1.03,IF(S362="TWINS",1,IF(S362="TIGERS",1,IF(S362="MARLINS",1.01,IF(S362="REDS",1.05,IF(S362="RED SOX",1.04,IF(S362="YANKEES",1.02,IF(S362="DODGERS",0.99,IF(S362="PADRES",0.96,IF(S362="CUBS",0.98,IF(S362="GIANTS",0.97,IF(S362="MARINERS",0.94,IF(S362="RANGERS",1,IF(S362="ASTROS",0.99,IF(S362="BRAVES",1,IF(S362="METS",0.96,IF(S362="PHILLIES",1.02,IF(S362="BLUE JAYS",1.01,IF(S362="ORIOLES",0.99,IF(S362="RAYS",1.01,IF(S362="GUARDIANS",0.99,IF(S362="WHITE SOX",0.98,IF(S362="ANGELS",1.01,IF(S362="D-BACKS",1.01,IF(S362="BREWERS",0.99,IF(S362="CARDINALS",0.96,IF(S362="PIRATES",1.02,IF(S362="NATIONALS",1,1))))))))))))))))))))))))))))))*IF(W362="",1,(1+((W362-70)/10*0.035)))*IF(U362="DOME",1,IF(U362="IN",1-(V362*0.01),IF(U362="OUT",1+(V362*0.01),IF(OR(U362="L-R",U362="R-L"),1+(V362*0.005),1))))</f>
        <v/>
      </c>
      <c r="U362" t="inlineStr">
        <is>
          <t>L-R</t>
        </is>
      </c>
      <c r="V362" t="n">
        <v>5</v>
      </c>
      <c r="W362" t="n">
        <v>52</v>
      </c>
      <c r="Y362">
        <f>B362 &amp; " vs. " &amp; H362</f>
        <v/>
      </c>
      <c r="Z362">
        <f>TRIM(LEFT(Y362, FIND("vs.", Y362)-1))</f>
        <v/>
      </c>
      <c r="AA362">
        <f>TRIM(MID(Y362, FIND(" vs. ", Y362)+4, 100))</f>
        <v/>
      </c>
      <c r="AB362" s="35">
        <f>IF(Q362 &gt; VALUE(AC362), "O " &amp; AC362, IF(Q362 &lt; VALUE(AC362), "U " &amp; AC362, AC362))</f>
        <v/>
      </c>
      <c r="AC362" s="15">
        <f>IF(OR(O362="-", P362="-"), "-", MROUND(O362 + P362, 0.5))</f>
        <v/>
      </c>
      <c r="AD362" s="15">
        <f>VALUE(TRIM(RIGHT(AF362, LEN(AF362) - FIND(" ", AF362))))</f>
        <v/>
      </c>
      <c r="AE362" s="15">
        <f>LEFT(AF362,FIND(" ",AF362)-1)</f>
        <v/>
      </c>
      <c r="AF362" s="15">
        <f>IF(OR(O362="-", P362="-"), "-",
IF(MROUND(ABS(O362-P362),0.5)&lt;=0.5,
IF(O362&gt;P362, B362 &amp; " ML", H362 &amp; " ML"),
IF(MROUND(ABS(O362-P362),0.5)=1,
IF(O362&gt;P362, H362 &amp; " +1.5", B362 &amp; " +1.5"),
IF(O362&gt;P362, B362 &amp; " -1.5", H362 &amp; " -1.5")
)
)
)</f>
        <v/>
      </c>
      <c r="AG362" s="15">
        <f>_xlfn.LET(
_xlpm.winA, O362^1.83 / (O362^1.83 + P362^1.83),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63">
      <c r="A363" s="42" t="n">
        <v>46123</v>
      </c>
      <c r="B363" t="inlineStr">
        <is>
          <t>ROCKIES</t>
        </is>
      </c>
      <c r="C363">
        <f>VLOOKUP(B363, 'MLB Data'!$B$5:$D$34, 3, FALSE)</f>
        <v/>
      </c>
      <c r="D363" t="inlineStr">
        <is>
          <t>RYAN FELTNER</t>
        </is>
      </c>
      <c r="E363" t="n">
        <v>4.59</v>
      </c>
      <c r="F363" s="17">
        <f>VLOOKUP(B363, 'MLB Data'!$F$2:$H$34, 3, FALSE)</f>
        <v/>
      </c>
      <c r="G363" s="17">
        <f>IF((E363*0.6+F363*0.4)&lt;2.5, 2.8, IF((E363*0.6+F363*0.4)&gt;5.5, 5.2, (E363*0.6+F363*0.4)))</f>
        <v/>
      </c>
      <c r="H363" t="inlineStr">
        <is>
          <t>PADRES</t>
        </is>
      </c>
      <c r="I363">
        <f>VLOOKUP(H363, 'MLB Data'!$B$5:$D$34, 3, FALSE)</f>
        <v/>
      </c>
      <c r="J363" t="inlineStr">
        <is>
          <t>GERMÁN MÁRQUEZ</t>
        </is>
      </c>
      <c r="K363" t="n">
        <v>5.9</v>
      </c>
      <c r="L363" s="17">
        <f>VLOOKUP(H363, 'MLB Data'!$F$2:$H$34, 3, FALSE)</f>
        <v/>
      </c>
      <c r="M363" s="17">
        <f>IF((K363*0.6+L363*0.4)&lt;2.5, 2.8, IF((K363*0.6+L363*0.4)&gt;5.5, 5.2, (K363*0.6+L363*0.4)))</f>
        <v/>
      </c>
      <c r="O363" s="18">
        <f>(C363/100) * 4.1 * (M363 / 4.2) * T363</f>
        <v/>
      </c>
      <c r="P363" s="18">
        <f>(I363/100) * 4.05 * (G363 / 4.2) * T363</f>
        <v/>
      </c>
      <c r="Q363" s="18">
        <f>(O363+P363)</f>
        <v/>
      </c>
      <c r="S363" s="15">
        <f>H363</f>
        <v/>
      </c>
      <c r="T363" s="19">
        <f>IF(S363="ROCKIES",1.13,IF(S363="ATHLETICS",1.03,IF(S363="ROYALS",1.03,IF(S363="TWINS",1,IF(S363="TIGERS",1,IF(S363="MARLINS",1.01,IF(S363="REDS",1.05,IF(S363="RED SOX",1.04,IF(S363="YANKEES",1.02,IF(S363="DODGERS",0.99,IF(S363="PADRES",0.96,IF(S363="CUBS",0.98,IF(S363="GIANTS",0.97,IF(S363="MARINERS",0.94,IF(S363="RANGERS",1,IF(S363="ASTROS",0.99,IF(S363="BRAVES",1,IF(S363="METS",0.96,IF(S363="PHILLIES",1.02,IF(S363="BLUE JAYS",1.01,IF(S363="ORIOLES",0.99,IF(S363="RAYS",1.01,IF(S363="GUARDIANS",0.99,IF(S363="WHITE SOX",0.98,IF(S363="ANGELS",1.01,IF(S363="D-BACKS",1.01,IF(S363="BREWERS",0.99,IF(S363="CARDINALS",0.96,IF(S363="PIRATES",1.02,IF(S363="NATIONALS",1,1))))))))))))))))))))))))))))))*IF(W363="",1,(1+((W363-70)/10*0.035)))*IF(U363="DOME",1,IF(U363="IN",1-(V363*0.01),IF(U363="OUT",1+(V363*0.01),IF(OR(U363="L-R",U363="R-L"),1+(V363*0.005),1))))</f>
        <v/>
      </c>
      <c r="U363" t="inlineStr">
        <is>
          <t>R-L</t>
        </is>
      </c>
      <c r="V363" t="n">
        <v>3</v>
      </c>
      <c r="W363" t="n">
        <v>63</v>
      </c>
      <c r="Y363">
        <f>B363 &amp; " vs. " &amp; H363</f>
        <v/>
      </c>
      <c r="Z363">
        <f>TRIM(LEFT(Y363, FIND("vs.", Y363)-1))</f>
        <v/>
      </c>
      <c r="AA363">
        <f>TRIM(MID(Y363, FIND(" vs. ", Y363)+4, 100))</f>
        <v/>
      </c>
      <c r="AB363" s="35">
        <f>IF(Q363 &gt; VALUE(AC363), "O " &amp; AC363, IF(Q363 &lt; VALUE(AC363), "U " &amp; AC363, AC363))</f>
        <v/>
      </c>
      <c r="AC363" s="15">
        <f>IF(OR(O363="-", P363="-"), "-", MROUND(O363 + P363, 0.5))</f>
        <v/>
      </c>
      <c r="AD363" s="15">
        <f>VALUE(TRIM(RIGHT(AF363, LEN(AF363) - FIND(" ", AF363))))</f>
        <v/>
      </c>
      <c r="AE363" s="15">
        <f>LEFT(AF363,FIND(" ",AF363)-1)</f>
        <v/>
      </c>
      <c r="AF363" s="15">
        <f>IF(OR(O363="-", P363="-"), "-",
IF(MROUND(ABS(O363-P363),0.5)&lt;=0.5,
IF(O363&gt;P363, B363 &amp; " ML", H363 &amp; " ML"),
IF(MROUND(ABS(O363-P363),0.5)=1,
IF(O363&gt;P363, H363 &amp; " +1.5", B363 &amp; " +1.5"),
IF(O363&gt;P363, B363 &amp; " -1.5", H363 &amp; " -1.5")
)
)
)</f>
        <v/>
      </c>
      <c r="AG363" s="15">
        <f>_xlfn.LET(
_xlpm.winA, O363^1.83 / (O363^1.83 + P363^1.83),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64">
      <c r="A364" s="42" t="n">
        <v>46123</v>
      </c>
      <c r="B364" t="inlineStr">
        <is>
          <t>RANGERS</t>
        </is>
      </c>
      <c r="C364">
        <f>VLOOKUP(B364, 'MLB Data'!$B$5:$D$34, 3, FALSE)</f>
        <v/>
      </c>
      <c r="D364" t="inlineStr">
        <is>
          <t>JACK LEITER</t>
        </is>
      </c>
      <c r="E364" t="n">
        <v>1.78</v>
      </c>
      <c r="F364" s="17">
        <f>VLOOKUP(B364, 'MLB Data'!$F$2:$H$34, 3, FALSE)</f>
        <v/>
      </c>
      <c r="G364" s="17">
        <f>IF((E364*0.6+F364*0.4)&lt;2.5, 2.8, IF((E364*0.6+F364*0.4)&gt;5.5, 5.2, (E364*0.6+F364*0.4)))</f>
        <v/>
      </c>
      <c r="H364" t="inlineStr">
        <is>
          <t>DODGERS</t>
        </is>
      </c>
      <c r="I364">
        <f>VLOOKUP(H364, 'MLB Data'!$B$5:$D$34, 3, FALSE)</f>
        <v/>
      </c>
      <c r="J364" t="inlineStr">
        <is>
          <t>EMMET SHEEHAN</t>
        </is>
      </c>
      <c r="K364" t="n">
        <v>5.93</v>
      </c>
      <c r="L364" s="17">
        <f>VLOOKUP(H364, 'MLB Data'!$F$2:$H$34, 3, FALSE)</f>
        <v/>
      </c>
      <c r="M364" s="17">
        <f>IF((K364*0.6+L364*0.4)&lt;2.5, 2.8, IF((K364*0.6+L364*0.4)&gt;5.5, 5.2, (K364*0.6+L364*0.4)))</f>
        <v/>
      </c>
      <c r="O364" s="18">
        <f>(C364/100) * 4.1 * (M364 / 4.2) * T364</f>
        <v/>
      </c>
      <c r="P364" s="18">
        <f>(I364/100) * 4.05 * (G364 / 4.2) * T364</f>
        <v/>
      </c>
      <c r="Q364" s="18">
        <f>(O364+P364)</f>
        <v/>
      </c>
      <c r="S364" s="15">
        <f>H364</f>
        <v/>
      </c>
      <c r="T364" s="19">
        <f>IF(S364="ROCKIES",1.13,IF(S364="ATHLETICS",1.03,IF(S364="ROYALS",1.03,IF(S364="TWINS",1,IF(S364="TIGERS",1,IF(S364="MARLINS",1.01,IF(S364="REDS",1.05,IF(S364="RED SOX",1.04,IF(S364="YANKEES",1.02,IF(S364="DODGERS",0.99,IF(S364="PADRES",0.96,IF(S364="CUBS",0.98,IF(S364="GIANTS",0.97,IF(S364="MARINERS",0.94,IF(S364="RANGERS",1,IF(S364="ASTROS",0.99,IF(S364="BRAVES",1,IF(S364="METS",0.96,IF(S364="PHILLIES",1.02,IF(S364="BLUE JAYS",1.01,IF(S364="ORIOLES",0.99,IF(S364="RAYS",1.01,IF(S364="GUARDIANS",0.99,IF(S364="WHITE SOX",0.98,IF(S364="ANGELS",1.01,IF(S364="D-BACKS",1.01,IF(S364="BREWERS",0.99,IF(S364="CARDINALS",0.96,IF(S364="PIRATES",1.02,IF(S364="NATIONALS",1,1))))))))))))))))))))))))))))))*IF(W364="",1,(1+((W364-70)/10*0.035)))*IF(U364="DOME",1,IF(U364="IN",1-(V364*0.01),IF(U364="OUT",1+(V364*0.01),IF(OR(U364="L-R",U364="R-L"),1+(V364*0.005),1))))</f>
        <v/>
      </c>
      <c r="U364" t="inlineStr">
        <is>
          <t>IN</t>
        </is>
      </c>
      <c r="V364" t="n">
        <v>3</v>
      </c>
      <c r="W364" t="n">
        <v>60</v>
      </c>
      <c r="Y364">
        <f>B364 &amp; " vs. " &amp; H364</f>
        <v/>
      </c>
      <c r="Z364">
        <f>TRIM(LEFT(Y364, FIND("vs.", Y364)-1))</f>
        <v/>
      </c>
      <c r="AA364">
        <f>TRIM(MID(Y364, FIND(" vs. ", Y364)+4, 100))</f>
        <v/>
      </c>
      <c r="AB364" s="35">
        <f>IF(Q364 &gt; VALUE(AC364), "O " &amp; AC364, IF(Q364 &lt; VALUE(AC364), "U " &amp; AC364, AC364))</f>
        <v/>
      </c>
      <c r="AC364" s="15">
        <f>IF(OR(O364="-", P364="-"), "-", MROUND(O364 + P364, 0.5))</f>
        <v/>
      </c>
      <c r="AD364" s="15">
        <f>VALUE(TRIM(RIGHT(AF364, LEN(AF364) - FIND(" ", AF364))))</f>
        <v/>
      </c>
      <c r="AE364" s="15">
        <f>LEFT(AF364,FIND(" ",AF364)-1)</f>
        <v/>
      </c>
      <c r="AF364" s="15">
        <f>IF(OR(O364="-", P364="-"), "-",
IF(MROUND(ABS(O364-P364),0.5)&lt;=0.5,
IF(O364&gt;P364, B364 &amp; " ML", H364 &amp; " ML"),
IF(MROUND(ABS(O364-P364),0.5)=1,
IF(O364&gt;P364, H364 &amp; " +1.5", B364 &amp; " +1.5"),
IF(O364&gt;P364, B364 &amp; " -1.5", H364 &amp; " -1.5")
)
)
)</f>
        <v/>
      </c>
      <c r="AG364" s="15">
        <f>_xlfn.LET(
_xlpm.winA, O364^1.83 / (O364^1.83 + P364^1.83),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65">
      <c r="A365" s="42" t="n">
        <v>46123</v>
      </c>
      <c r="B365" t="inlineStr">
        <is>
          <t>ASTROS</t>
        </is>
      </c>
      <c r="C365">
        <f>VLOOKUP(B365, 'MLB Data'!$B$5:$D$34, 3, FALSE)</f>
        <v/>
      </c>
      <c r="D365" t="inlineStr">
        <is>
          <t>LANCE MCCULLERS JR.</t>
        </is>
      </c>
      <c r="E365" t="n">
        <v>1.88</v>
      </c>
      <c r="F365" s="17">
        <f>VLOOKUP(B365, 'MLB Data'!$F$2:$H$34, 3, FALSE)</f>
        <v/>
      </c>
      <c r="G365" s="17">
        <f>IF((E365*0.6+F365*0.4)&lt;2.5, 2.8, IF((E365*0.6+F365*0.4)&gt;5.5, 5.2, (E365*0.6+F365*0.4)))</f>
        <v/>
      </c>
      <c r="H365" t="inlineStr">
        <is>
          <t>MARINERS</t>
        </is>
      </c>
      <c r="I365">
        <f>VLOOKUP(H365, 'MLB Data'!$B$5:$D$34, 3, FALSE)</f>
        <v/>
      </c>
      <c r="J365" t="inlineStr">
        <is>
          <t>LUIS CASTILLO</t>
        </is>
      </c>
      <c r="K365" t="n">
        <v>2.11</v>
      </c>
      <c r="L365" s="17">
        <f>VLOOKUP(H365, 'MLB Data'!$F$2:$H$34, 3, FALSE)</f>
        <v/>
      </c>
      <c r="M365" s="17">
        <f>IF((K365*0.6+L365*0.4)&lt;2.5, 2.8, IF((K365*0.6+L365*0.4)&gt;5.5, 5.2, (K365*0.6+L365*0.4)))</f>
        <v/>
      </c>
      <c r="O365" s="18">
        <f>(C365/100) * 4.1 * (M365 / 4.2) * T365</f>
        <v/>
      </c>
      <c r="P365" s="18">
        <f>(I365/100) * 4.05 * (G365 / 4.2) * T365</f>
        <v/>
      </c>
      <c r="Q365" s="18">
        <f>(O365+P365)</f>
        <v/>
      </c>
      <c r="S365" s="15">
        <f>H365</f>
        <v/>
      </c>
      <c r="T365" s="19">
        <f>IF(S365="ROCKIES",1.13,IF(S365="ATHLETICS",1.03,IF(S365="ROYALS",1.03,IF(S365="TWINS",1,IF(S365="TIGERS",1,IF(S365="MARLINS",1.01,IF(S365="REDS",1.05,IF(S365="RED SOX",1.04,IF(S365="YANKEES",1.02,IF(S365="DODGERS",0.99,IF(S365="PADRES",0.96,IF(S365="CUBS",0.98,IF(S365="GIANTS",0.97,IF(S365="MARINERS",0.94,IF(S365="RANGERS",1,IF(S365="ASTROS",0.99,IF(S365="BRAVES",1,IF(S365="METS",0.96,IF(S365="PHILLIES",1.02,IF(S365="BLUE JAYS",1.01,IF(S365="ORIOLES",0.99,IF(S365="RAYS",1.01,IF(S365="GUARDIANS",0.99,IF(S365="WHITE SOX",0.98,IF(S365="ANGELS",1.01,IF(S365="D-BACKS",1.01,IF(S365="BREWERS",0.99,IF(S365="CARDINALS",0.96,IF(S365="PIRATES",1.02,IF(S365="NATIONALS",1,1))))))))))))))))))))))))))))))*IF(W365="",1,(1+((W365-70)/10*0.035)))*IF(U365="DOME",1,IF(U365="IN",1-(V365*0.01),IF(U365="OUT",1+(V365*0.01),IF(OR(U365="L-R",U365="R-L"),1+(V365*0.005),1))))</f>
        <v/>
      </c>
      <c r="U365" t="inlineStr">
        <is>
          <t>OUT</t>
        </is>
      </c>
      <c r="V365" t="n">
        <v>2</v>
      </c>
      <c r="W365" t="n">
        <v>47</v>
      </c>
      <c r="Y365">
        <f>B365 &amp; " vs. " &amp; H365</f>
        <v/>
      </c>
      <c r="Z365">
        <f>TRIM(LEFT(Y365, FIND("vs.", Y365)-1))</f>
        <v/>
      </c>
      <c r="AA365">
        <f>TRIM(MID(Y365, FIND(" vs. ", Y365)+4, 100))</f>
        <v/>
      </c>
      <c r="AB365" s="35">
        <f>IF(Q365 &gt; VALUE(AC365), "O " &amp; AC365, IF(Q365 &lt; VALUE(AC365), "U " &amp; AC365, AC365))</f>
        <v/>
      </c>
      <c r="AC365" s="15">
        <f>IF(OR(O365="-", P365="-"), "-", MROUND(O365 + P365, 0.5))</f>
        <v/>
      </c>
      <c r="AD365" s="15">
        <f>VALUE(TRIM(RIGHT(AF365, LEN(AF365) - FIND(" ", AF365))))</f>
        <v/>
      </c>
      <c r="AE365" s="15">
        <f>LEFT(AF365,FIND(" ",AF365)-1)</f>
        <v/>
      </c>
      <c r="AF365" s="15">
        <f>IF(OR(O365="-", P365="-"), "-",
IF(MROUND(ABS(O365-P365),0.5)&lt;=0.5,
IF(O365&gt;P365, B365 &amp; " ML", H365 &amp; " ML"),
IF(MROUND(ABS(O365-P365),0.5)=1,
IF(O365&gt;P365, H365 &amp; " +1.5", B365 &amp; " +1.5"),
IF(O365&gt;P365, B365 &amp; " -1.5", H365 &amp; " -1.5")
)
)
)</f>
        <v/>
      </c>
      <c r="AG365" s="15">
        <f>_xlfn.LET(
_xlpm.winA, O365^1.83 / (O365^1.83 + P365^1.83),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66">
      <c r="A366" s="73" t="n">
        <v>46124</v>
      </c>
      <c r="B366" t="inlineStr">
        <is>
          <t>GIANTS</t>
        </is>
      </c>
      <c r="C366">
        <f>VLOOKUP(B366, 'MLB Data'!$B$5:$D$34, 3, FALSE)</f>
        <v/>
      </c>
      <c r="D366" t="inlineStr">
        <is>
          <t>ADRIAN HOUSER</t>
        </is>
      </c>
      <c r="F366" s="17">
        <f>VLOOKUP(B366, 'MLB Data'!$F$2:$H$34, 3, FALSE)</f>
        <v/>
      </c>
      <c r="G366" s="17">
        <f>IF((E366*0.6+F366*0.4)&lt;2.5, 2.8, IF((E366*0.6+F366*0.4)&gt;5.5, 5.2, (E366*0.6+F366*0.4)))</f>
        <v/>
      </c>
      <c r="H366" t="inlineStr">
        <is>
          <t>ORIOLES</t>
        </is>
      </c>
      <c r="I366">
        <f>VLOOKUP(H366, 'MLB Data'!$B$5:$D$34, 3, FALSE)</f>
        <v/>
      </c>
      <c r="J366" t="inlineStr">
        <is>
          <t>CADE POVICH</t>
        </is>
      </c>
      <c r="L366" s="17">
        <f>VLOOKUP(H366, 'MLB Data'!$F$2:$H$34, 3, FALSE)</f>
        <v/>
      </c>
      <c r="M366" s="17">
        <f>IF((K366*0.6+L366*0.4)&lt;2.5, 2.8, IF((K366*0.6+L366*0.4)&gt;5.5, 5.2, (K366*0.6+L366*0.4)))</f>
        <v/>
      </c>
      <c r="O366" s="18">
        <f>(C366/100) * 4.1 * (M366 / 4.2) * T366</f>
        <v/>
      </c>
      <c r="P366" s="18">
        <f>(I366/100) * 4.05 * (G366 / 4.2) * T366</f>
        <v/>
      </c>
      <c r="Q366" s="18">
        <f>(O366+P366)</f>
        <v/>
      </c>
      <c r="S366" s="15">
        <f>H366</f>
        <v/>
      </c>
      <c r="T366" s="19">
        <f>IF(S366="ROCKIES",1.13,IF(S366="ATHLETICS",1.03,IF(S366="ROYALS",1.03,IF(S366="TWINS",1,IF(S366="TIGERS",1,IF(S366="MARLINS",1.01,IF(S366="REDS",1.05,IF(S366="RED SOX",1.04,IF(S366="YANKEES",1.02,IF(S366="DODGERS",0.99,IF(S366="PADRES",0.96,IF(S366="CUBS",0.98,IF(S366="GIANTS",0.97,IF(S366="MARINERS",0.94,IF(S366="RANGERS",1,IF(S366="ASTROS",0.99,IF(S366="BRAVES",1,IF(S366="METS",0.96,IF(S366="PHILLIES",1.02,IF(S366="BLUE JAYS",1.01,IF(S366="ORIOLES",0.99,IF(S366="RAYS",1.01,IF(S366="GUARDIANS",0.99,IF(S366="WHITE SOX",0.98,IF(S366="ANGELS",1.01,IF(S366="D-BACKS",1.01,IF(S366="BREWERS",0.99,IF(S366="CARDINALS",0.96,IF(S366="PIRATES",1.02,IF(S366="NATIONALS",1,1))))))))))))))))))))))))))))))*IF(W366="",1,(1+((W366-70)/10*0.035)))*IF(U366="DOME",1,IF(U366="IN",1-(V366*0.01),IF(U366="OUT",1+(V366*0.01),IF(OR(U366="L-R",U366="R-L"),1+(V366*0.005),1))))</f>
        <v/>
      </c>
      <c r="U366" t="inlineStr">
        <is>
          <t>IN</t>
        </is>
      </c>
      <c r="V366" t="n">
        <v>12</v>
      </c>
      <c r="W366" t="n">
        <v>64</v>
      </c>
      <c r="Y366">
        <f>B366 &amp; " vs. " &amp; H366</f>
        <v/>
      </c>
      <c r="Z366">
        <f>TRIM(LEFT(Y366, FIND("vs.", Y366)-1))</f>
        <v/>
      </c>
      <c r="AA366">
        <f>TRIM(MID(Y366, FIND(" vs. ", Y366)+4, 100))</f>
        <v/>
      </c>
      <c r="AB366" s="35">
        <f>IF(Q366 &gt; VALUE(AC366), "O " &amp; AC366, IF(Q366 &lt; VALUE(AC366), "U " &amp; AC366, AC366))</f>
        <v/>
      </c>
      <c r="AC366" s="15">
        <f>IF(OR(O366="-", P366="-"), "-", MROUND(O366 + P366, 0.5))</f>
        <v/>
      </c>
      <c r="AD366" s="15">
        <f>VALUE(TRIM(RIGHT(AF366, LEN(AF366) - FIND(" ", AF366))))</f>
        <v/>
      </c>
      <c r="AE366" s="15">
        <f>LEFT(AF366,FIND(" ",AF366)-1)</f>
        <v/>
      </c>
      <c r="AF366" s="15">
        <f>IF(OR(O366="-", P366="-"), "-",
IF(MROUND(ABS(O366-P366),0.5)&lt;=0.5,
IF(O366&gt;P366, B366 &amp; " ML", H366 &amp; " ML"),
IF(MROUND(ABS(O366-P366),0.5)=1,
IF(O366&gt;P366, H366 &amp; " +1.5", B366 &amp; " +1.5"),
IF(O366&gt;P366, B366 &amp; " -1.5", H366 &amp; " -1.5")
)
)
)</f>
        <v/>
      </c>
      <c r="AG366" s="15">
        <f>_xlfn.LET(
_xlpm.winA, O366^1.83 / (O366^1.83 + P366^1.83),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67">
      <c r="A367" s="73" t="n">
        <v>46124</v>
      </c>
      <c r="B367" t="inlineStr">
        <is>
          <t>D-BACKS</t>
        </is>
      </c>
      <c r="C367">
        <f>VLOOKUP(B367, 'MLB Data'!$B$5:$D$34, 3, FALSE)</f>
        <v/>
      </c>
      <c r="D367" t="inlineStr">
        <is>
          <t>ZAC GALLEN</t>
        </is>
      </c>
      <c r="F367" s="17">
        <f>VLOOKUP(B367, 'MLB Data'!$F$2:$H$34, 3, FALSE)</f>
        <v/>
      </c>
      <c r="G367" s="17">
        <f>IF((E367*0.6+F367*0.4)&lt;2.5, 2.8, IF((E367*0.6+F367*0.4)&gt;5.5, 5.2, (E367*0.6+F367*0.4)))</f>
        <v/>
      </c>
      <c r="H367" t="inlineStr">
        <is>
          <t>PHILLIES</t>
        </is>
      </c>
      <c r="I367">
        <f>VLOOKUP(H367, 'MLB Data'!$B$5:$D$34, 3, FALSE)</f>
        <v/>
      </c>
      <c r="J367" t="inlineStr">
        <is>
          <t>ANDREW PAINTER</t>
        </is>
      </c>
      <c r="L367" s="17">
        <f>VLOOKUP(H367, 'MLB Data'!$F$2:$H$34, 3, FALSE)</f>
        <v/>
      </c>
      <c r="M367" s="17">
        <f>IF((K367*0.6+L367*0.4)&lt;2.5, 2.8, IF((K367*0.6+L367*0.4)&gt;5.5, 5.2, (K367*0.6+L367*0.4)))</f>
        <v/>
      </c>
      <c r="O367" s="18">
        <f>(C367/100) * 4.1 * (M367 / 4.2) * T367</f>
        <v/>
      </c>
      <c r="P367" s="18">
        <f>(I367/100) * 4.05 * (G367 / 4.2) * T367</f>
        <v/>
      </c>
      <c r="Q367" s="18">
        <f>(O367+P367)</f>
        <v/>
      </c>
      <c r="S367" s="15">
        <f>H367</f>
        <v/>
      </c>
      <c r="T367" s="19">
        <f>IF(S367="ROCKIES",1.13,IF(S367="ATHLETICS",1.03,IF(S367="ROYALS",1.03,IF(S367="TWINS",1,IF(S367="TIGERS",1,IF(S367="MARLINS",1.01,IF(S367="REDS",1.05,IF(S367="RED SOX",1.04,IF(S367="YANKEES",1.02,IF(S367="DODGERS",0.99,IF(S367="PADRES",0.96,IF(S367="CUBS",0.98,IF(S367="GIANTS",0.97,IF(S367="MARINERS",0.94,IF(S367="RANGERS",1,IF(S367="ASTROS",0.99,IF(S367="BRAVES",1,IF(S367="METS",0.96,IF(S367="PHILLIES",1.02,IF(S367="BLUE JAYS",1.01,IF(S367="ORIOLES",0.99,IF(S367="RAYS",1.01,IF(S367="GUARDIANS",0.99,IF(S367="WHITE SOX",0.98,IF(S367="ANGELS",1.01,IF(S367="D-BACKS",1.01,IF(S367="BREWERS",0.99,IF(S367="CARDINALS",0.96,IF(S367="PIRATES",1.02,IF(S367="NATIONALS",1,1))))))))))))))))))))))))))))))*IF(W367="",1,(1+((W367-70)/10*0.035)))*IF(U367="DOME",1,IF(U367="IN",1-(V367*0.01),IF(U367="OUT",1+(V367*0.01),IF(OR(U367="L-R",U367="R-L"),1+(V367*0.005),1))))</f>
        <v/>
      </c>
      <c r="U367" t="inlineStr">
        <is>
          <t>IN</t>
        </is>
      </c>
      <c r="V367" t="n">
        <v>13</v>
      </c>
      <c r="W367" t="n">
        <v>61</v>
      </c>
      <c r="Y367">
        <f>B367 &amp; " vs. " &amp; H367</f>
        <v/>
      </c>
      <c r="Z367">
        <f>TRIM(LEFT(Y367, FIND("vs.", Y367)-1))</f>
        <v/>
      </c>
      <c r="AA367">
        <f>TRIM(MID(Y367, FIND(" vs. ", Y367)+4, 100))</f>
        <v/>
      </c>
      <c r="AB367" s="35">
        <f>IF(Q367 &gt; VALUE(AC367), "O " &amp; AC367, IF(Q367 &lt; VALUE(AC367), "U " &amp; AC367, AC367))</f>
        <v/>
      </c>
      <c r="AC367" s="15">
        <f>IF(OR(O367="-", P367="-"), "-", MROUND(O367 + P367, 0.5))</f>
        <v/>
      </c>
      <c r="AD367" s="15">
        <f>VALUE(TRIM(RIGHT(AF367, LEN(AF367) - FIND(" ", AF367))))</f>
        <v/>
      </c>
      <c r="AE367" s="15">
        <f>LEFT(AF367,FIND(" ",AF367)-1)</f>
        <v/>
      </c>
      <c r="AF367" s="15">
        <f>IF(OR(O367="-", P367="-"), "-",
IF(MROUND(ABS(O367-P367),0.5)&lt;=0.5,
IF(O367&gt;P367, B367 &amp; " ML", H367 &amp; " ML"),
IF(MROUND(ABS(O367-P367),0.5)=1,
IF(O367&gt;P367, H367 &amp; " +1.5", B367 &amp; " +1.5"),
IF(O367&gt;P367, B367 &amp; " -1.5", H367 &amp; " -1.5")
)
)
)</f>
        <v/>
      </c>
      <c r="AG367" s="15">
        <f>_xlfn.LET(
_xlpm.winA, O367^1.83 / (O367^1.83 + P367^1.83),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68">
      <c r="A368" s="73" t="n">
        <v>46124</v>
      </c>
      <c r="B368" t="inlineStr">
        <is>
          <t>TWINS</t>
        </is>
      </c>
      <c r="C368">
        <f>VLOOKUP(B368, 'MLB Data'!$B$5:$D$34, 3, FALSE)</f>
        <v/>
      </c>
      <c r="D368" t="inlineStr">
        <is>
          <t>TAJ BRADLEY</t>
        </is>
      </c>
      <c r="F368" s="17">
        <f>VLOOKUP(B368, 'MLB Data'!$F$2:$H$34, 3, FALSE)</f>
        <v/>
      </c>
      <c r="G368" s="17">
        <f>IF((E368*0.6+F368*0.4)&lt;2.5, 2.8, IF((E368*0.6+F368*0.4)&gt;5.5, 5.2, (E368*0.6+F368*0.4)))</f>
        <v/>
      </c>
      <c r="H368" t="inlineStr">
        <is>
          <t>BLUE JAYS</t>
        </is>
      </c>
      <c r="I368">
        <f>VLOOKUP(H368, 'MLB Data'!$B$5:$D$34, 3, FALSE)</f>
        <v/>
      </c>
      <c r="J368" t="inlineStr">
        <is>
          <t>MAX SCHERZER</t>
        </is>
      </c>
      <c r="L368" s="17">
        <f>VLOOKUP(H368, 'MLB Data'!$F$2:$H$34, 3, FALSE)</f>
        <v/>
      </c>
      <c r="M368" s="17">
        <f>IF((K368*0.6+L368*0.4)&lt;2.5, 2.8, IF((K368*0.6+L368*0.4)&gt;5.5, 5.2, (K368*0.6+L368*0.4)))</f>
        <v/>
      </c>
      <c r="O368" s="18">
        <f>(C368/100) * 4.1 * (M368 / 4.2) * T368</f>
        <v/>
      </c>
      <c r="P368" s="18">
        <f>(I368/100) * 4.05 * (G368 / 4.2) * T368</f>
        <v/>
      </c>
      <c r="Q368" s="18">
        <f>(O368+P368)</f>
        <v/>
      </c>
      <c r="S368" s="15">
        <f>H368</f>
        <v/>
      </c>
      <c r="T368" s="19">
        <f>IF(S368="ROCKIES",1.13,IF(S368="ATHLETICS",1.03,IF(S368="ROYALS",1.03,IF(S368="TWINS",1,IF(S368="TIGERS",1,IF(S368="MARLINS",1.01,IF(S368="REDS",1.05,IF(S368="RED SOX",1.04,IF(S368="YANKEES",1.02,IF(S368="DODGERS",0.99,IF(S368="PADRES",0.96,IF(S368="CUBS",0.98,IF(S368="GIANTS",0.97,IF(S368="MARINERS",0.94,IF(S368="RANGERS",1,IF(S368="ASTROS",0.99,IF(S368="BRAVES",1,IF(S368="METS",0.96,IF(S368="PHILLIES",1.02,IF(S368="BLUE JAYS",1.01,IF(S368="ORIOLES",0.99,IF(S368="RAYS",1.01,IF(S368="GUARDIANS",0.99,IF(S368="WHITE SOX",0.98,IF(S368="ANGELS",1.01,IF(S368="D-BACKS",1.01,IF(S368="BREWERS",0.99,IF(S368="CARDINALS",0.96,IF(S368="PIRATES",1.02,IF(S368="NATIONALS",1,1))))))))))))))))))))))))))))))*IF(W368="",1,(1+((W368-70)/10*0.035)))*IF(U368="DOME",1,IF(U368="IN",1-(V368*0.01),IF(U368="OUT",1+(V368*0.01),IF(OR(U368="L-R",U368="R-L"),1+(V368*0.005),1))))</f>
        <v/>
      </c>
      <c r="U368" t="inlineStr">
        <is>
          <t>DOME</t>
        </is>
      </c>
      <c r="V368" t="n">
        <v>0</v>
      </c>
      <c r="Y368">
        <f>B368 &amp; " vs. " &amp; H368</f>
        <v/>
      </c>
      <c r="Z368">
        <f>TRIM(LEFT(Y368, FIND("vs.", Y368)-1))</f>
        <v/>
      </c>
      <c r="AA368">
        <f>TRIM(MID(Y368, FIND(" vs. ", Y368)+4, 100))</f>
        <v/>
      </c>
      <c r="AB368" s="35">
        <f>IF(Q368 &gt; VALUE(AC368), "O " &amp; AC368, IF(Q368 &lt; VALUE(AC368), "U " &amp; AC368, AC368))</f>
        <v/>
      </c>
      <c r="AC368" s="15">
        <f>IF(OR(O368="-", P368="-"), "-", MROUND(O368 + P368, 0.5))</f>
        <v/>
      </c>
      <c r="AD368" s="15">
        <f>VALUE(TRIM(RIGHT(AF368, LEN(AF368) - FIND(" ", AF368))))</f>
        <v/>
      </c>
      <c r="AE368" s="15">
        <f>LEFT(AF368,FIND(" ",AF368)-1)</f>
        <v/>
      </c>
      <c r="AF368" s="15">
        <f>IF(OR(O368="-", P368="-"), "-",
IF(MROUND(ABS(O368-P368),0.5)&lt;=0.5,
IF(O368&gt;P368, B368 &amp; " ML", H368 &amp; " ML"),
IF(MROUND(ABS(O368-P368),0.5)=1,
IF(O368&gt;P368, H368 &amp; " +1.5", B368 &amp; " +1.5"),
IF(O368&gt;P368, B368 &amp; " -1.5", H368 &amp; " -1.5")
)
)
)</f>
        <v/>
      </c>
      <c r="AG368" s="15">
        <f>_xlfn.LET(
_xlpm.winA, O368^1.83 / (O368^1.83 + P368^1.83),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69">
      <c r="A369" s="73" t="n">
        <v>46124</v>
      </c>
      <c r="B369" t="inlineStr">
        <is>
          <t>ANGELS</t>
        </is>
      </c>
      <c r="C369">
        <f>VLOOKUP(B369, 'MLB Data'!$B$5:$D$34, 3, FALSE)</f>
        <v/>
      </c>
      <c r="D369" t="inlineStr">
        <is>
          <t>JOSÉ SORIANO</t>
        </is>
      </c>
      <c r="F369" s="17">
        <f>VLOOKUP(B369, 'MLB Data'!$F$2:$H$34, 3, FALSE)</f>
        <v/>
      </c>
      <c r="G369" s="17">
        <f>IF((E369*0.6+F369*0.4)&lt;2.5, 2.8, IF((E369*0.6+F369*0.4)&gt;5.5, 5.2, (E369*0.6+F369*0.4)))</f>
        <v/>
      </c>
      <c r="H369" t="inlineStr">
        <is>
          <t>REDS</t>
        </is>
      </c>
      <c r="I369">
        <f>VLOOKUP(H369, 'MLB Data'!$B$5:$D$34, 3, FALSE)</f>
        <v/>
      </c>
      <c r="J369" t="inlineStr">
        <is>
          <t>ANDREW ABBOTT</t>
        </is>
      </c>
      <c r="L369" s="17">
        <f>VLOOKUP(H369, 'MLB Data'!$F$2:$H$34, 3, FALSE)</f>
        <v/>
      </c>
      <c r="M369" s="17">
        <f>IF((K369*0.6+L369*0.4)&lt;2.5, 2.8, IF((K369*0.6+L369*0.4)&gt;5.5, 5.2, (K369*0.6+L369*0.4)))</f>
        <v/>
      </c>
      <c r="O369" s="18">
        <f>(C369/100) * 4.1 * (M369 / 4.2) * T369</f>
        <v/>
      </c>
      <c r="P369" s="18">
        <f>(I369/100) * 4.05 * (G369 / 4.2) * T369</f>
        <v/>
      </c>
      <c r="Q369" s="18">
        <f>(O369+P369)</f>
        <v/>
      </c>
      <c r="S369" s="15">
        <f>H369</f>
        <v/>
      </c>
      <c r="T369" s="19">
        <f>IF(S369="ROCKIES",1.13,IF(S369="ATHLETICS",1.03,IF(S369="ROYALS",1.03,IF(S369="TWINS",1,IF(S369="TIGERS",1,IF(S369="MARLINS",1.01,IF(S369="REDS",1.05,IF(S369="RED SOX",1.04,IF(S369="YANKEES",1.02,IF(S369="DODGERS",0.99,IF(S369="PADRES",0.96,IF(S369="CUBS",0.98,IF(S369="GIANTS",0.97,IF(S369="MARINERS",0.94,IF(S369="RANGERS",1,IF(S369="ASTROS",0.99,IF(S369="BRAVES",1,IF(S369="METS",0.96,IF(S369="PHILLIES",1.02,IF(S369="BLUE JAYS",1.01,IF(S369="ORIOLES",0.99,IF(S369="RAYS",1.01,IF(S369="GUARDIANS",0.99,IF(S369="WHITE SOX",0.98,IF(S369="ANGELS",1.01,IF(S369="D-BACKS",1.01,IF(S369="BREWERS",0.99,IF(S369="CARDINALS",0.96,IF(S369="PIRATES",1.02,IF(S369="NATIONALS",1,1))))))))))))))))))))))))))))))*IF(W369="",1,(1+((W369-70)/10*0.035)))*IF(U369="DOME",1,IF(U369="IN",1-(V369*0.01),IF(U369="OUT",1+(V369*0.01),IF(OR(U369="L-R",U369="R-L"),1+(V369*0.005),1))))</f>
        <v/>
      </c>
      <c r="U369" t="inlineStr">
        <is>
          <t>CROSS</t>
        </is>
      </c>
      <c r="V369" t="n">
        <v>6</v>
      </c>
      <c r="W369" t="n">
        <v>61</v>
      </c>
      <c r="Y369">
        <f>B369 &amp; " vs. " &amp; H369</f>
        <v/>
      </c>
      <c r="Z369">
        <f>TRIM(LEFT(Y369, FIND("vs.", Y369)-1))</f>
        <v/>
      </c>
      <c r="AA369">
        <f>TRIM(MID(Y369, FIND(" vs. ", Y369)+4, 100))</f>
        <v/>
      </c>
      <c r="AB369" s="35">
        <f>IF(Q369 &gt; VALUE(AC369), "O " &amp; AC369, IF(Q369 &lt; VALUE(AC369), "U " &amp; AC369, AC369))</f>
        <v/>
      </c>
      <c r="AC369" s="15">
        <f>IF(OR(O369="-", P369="-"), "-", MROUND(O369 + P369, 0.5))</f>
        <v/>
      </c>
      <c r="AD369" s="15">
        <f>VALUE(TRIM(RIGHT(AF369, LEN(AF369) - FIND(" ", AF369))))</f>
        <v/>
      </c>
      <c r="AE369" s="15">
        <f>LEFT(AF369,FIND(" ",AF369)-1)</f>
        <v/>
      </c>
      <c r="AF369" s="15">
        <f>IF(OR(O369="-", P369="-"), "-",
IF(MROUND(ABS(O369-P369),0.5)&lt;=0.5,
IF(O369&gt;P369, B369 &amp; " ML", H369 &amp; " ML"),
IF(MROUND(ABS(O369-P369),0.5)=1,
IF(O369&gt;P369, H369 &amp; " +1.5", B369 &amp; " +1.5"),
IF(O369&gt;P369, B369 &amp; " -1.5", H369 &amp; " -1.5")
)
)
)</f>
        <v/>
      </c>
      <c r="AG369" s="15">
        <f>_xlfn.LET(
_xlpm.winA, O369^1.83 / (O369^1.83 + P369^1.83),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70">
      <c r="A370" s="73" t="n">
        <v>46124</v>
      </c>
      <c r="B370" t="inlineStr">
        <is>
          <t>ATHLETICS</t>
        </is>
      </c>
      <c r="C370">
        <f>VLOOKUP(B370, 'MLB Data'!$B$5:$D$34, 3, FALSE)</f>
        <v/>
      </c>
      <c r="D370" t="inlineStr">
        <is>
          <t>AARON CIVALE</t>
        </is>
      </c>
      <c r="F370" s="17">
        <f>VLOOKUP(B370, 'MLB Data'!$F$2:$H$34, 3, FALSE)</f>
        <v/>
      </c>
      <c r="G370" s="17">
        <f>IF((E370*0.6+F370*0.4)&lt;2.5, 2.8, IF((E370*0.6+F370*0.4)&gt;5.5, 5.2, (E370*0.6+F370*0.4)))</f>
        <v/>
      </c>
      <c r="H370" t="inlineStr">
        <is>
          <t>METS</t>
        </is>
      </c>
      <c r="I370">
        <f>VLOOKUP(H370, 'MLB Data'!$B$5:$D$34, 3, FALSE)</f>
        <v/>
      </c>
      <c r="J370" t="inlineStr">
        <is>
          <t>FREDDY PERALTA</t>
        </is>
      </c>
      <c r="L370" s="17">
        <f>VLOOKUP(H370, 'MLB Data'!$F$2:$H$34, 3, FALSE)</f>
        <v/>
      </c>
      <c r="M370" s="17">
        <f>IF((K370*0.6+L370*0.4)&lt;2.5, 2.8, IF((K370*0.6+L370*0.4)&gt;5.5, 5.2, (K370*0.6+L370*0.4)))</f>
        <v/>
      </c>
      <c r="O370" s="18">
        <f>(C370/100) * 4.1 * (M370 / 4.2) * T370</f>
        <v/>
      </c>
      <c r="P370" s="18">
        <f>(I370/100) * 4.05 * (G370 / 4.2) * T370</f>
        <v/>
      </c>
      <c r="Q370" s="18">
        <f>(O370+P370)</f>
        <v/>
      </c>
      <c r="S370" s="15">
        <f>H370</f>
        <v/>
      </c>
      <c r="T370" s="19">
        <f>IF(S370="ROCKIES",1.13,IF(S370="ATHLETICS",1.03,IF(S370="ROYALS",1.03,IF(S370="TWINS",1,IF(S370="TIGERS",1,IF(S370="MARLINS",1.01,IF(S370="REDS",1.05,IF(S370="RED SOX",1.04,IF(S370="YANKEES",1.02,IF(S370="DODGERS",0.99,IF(S370="PADRES",0.96,IF(S370="CUBS",0.98,IF(S370="GIANTS",0.97,IF(S370="MARINERS",0.94,IF(S370="RANGERS",1,IF(S370="ASTROS",0.99,IF(S370="BRAVES",1,IF(S370="METS",0.96,IF(S370="PHILLIES",1.02,IF(S370="BLUE JAYS",1.01,IF(S370="ORIOLES",0.99,IF(S370="RAYS",1.01,IF(S370="GUARDIANS",0.99,IF(S370="WHITE SOX",0.98,IF(S370="ANGELS",1.01,IF(S370="D-BACKS",1.01,IF(S370="BREWERS",0.99,IF(S370="CARDINALS",0.96,IF(S370="PIRATES",1.02,IF(S370="NATIONALS",1,1))))))))))))))))))))))))))))))*IF(W370="",1,(1+((W370-70)/10*0.035)))*IF(U370="DOME",1,IF(U370="IN",1-(V370*0.01),IF(U370="OUT",1+(V370*0.01),IF(OR(U370="L-R",U370="R-L"),1+(V370*0.005),1))))</f>
        <v/>
      </c>
      <c r="U370" t="inlineStr">
        <is>
          <t>CROSS</t>
        </is>
      </c>
      <c r="V370" t="n">
        <v>13</v>
      </c>
      <c r="W370" t="n">
        <v>61</v>
      </c>
      <c r="Y370">
        <f>B370 &amp; " vs. " &amp; H370</f>
        <v/>
      </c>
      <c r="Z370">
        <f>TRIM(LEFT(Y370, FIND("vs.", Y370)-1))</f>
        <v/>
      </c>
      <c r="AA370">
        <f>TRIM(MID(Y370, FIND(" vs. ", Y370)+4, 100))</f>
        <v/>
      </c>
      <c r="AB370" s="35">
        <f>IF(Q370 &gt; VALUE(AC370), "O " &amp; AC370, IF(Q370 &lt; VALUE(AC370), "U " &amp; AC370, AC370))</f>
        <v/>
      </c>
      <c r="AC370" s="15">
        <f>IF(OR(O370="-", P370="-"), "-", MROUND(O370 + P370, 0.5))</f>
        <v/>
      </c>
      <c r="AD370" s="15">
        <f>VALUE(TRIM(RIGHT(AF370, LEN(AF370) - FIND(" ", AF370))))</f>
        <v/>
      </c>
      <c r="AE370" s="15">
        <f>LEFT(AF370,FIND(" ",AF370)-1)</f>
        <v/>
      </c>
      <c r="AF370" s="15">
        <f>IF(OR(O370="-", P370="-"), "-",
IF(MROUND(ABS(O370-P370),0.5)&lt;=0.5,
IF(O370&gt;P370, B370 &amp; " ML", H370 &amp; " ML"),
IF(MROUND(ABS(O370-P370),0.5)=1,
IF(O370&gt;P370, H370 &amp; " +1.5", B370 &amp; " +1.5"),
IF(O370&gt;P370, B370 &amp; " -1.5", H370 &amp; " -1.5")
)
)
)</f>
        <v/>
      </c>
      <c r="AG370" s="15">
        <f>_xlfn.LET(
_xlpm.winA, O370^1.83 / (O370^1.83 + P370^1.83),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71">
      <c r="A371" s="73" t="n">
        <v>46124</v>
      </c>
      <c r="B371" t="inlineStr">
        <is>
          <t>MARLINS</t>
        </is>
      </c>
      <c r="C371">
        <f>VLOOKUP(B371, 'MLB Data'!$B$5:$D$34, 3, FALSE)</f>
        <v/>
      </c>
      <c r="D371" t="inlineStr">
        <is>
          <t>SANDY ALCANTARA</t>
        </is>
      </c>
      <c r="F371" s="17">
        <f>VLOOKUP(B371, 'MLB Data'!$F$2:$H$34, 3, FALSE)</f>
        <v/>
      </c>
      <c r="G371" s="17">
        <f>IF((E371*0.6+F371*0.4)&lt;2.5, 2.8, IF((E371*0.6+F371*0.4)&gt;5.5, 5.2, (E371*0.6+F371*0.4)))</f>
        <v/>
      </c>
      <c r="H371" t="inlineStr">
        <is>
          <t>TIGERS</t>
        </is>
      </c>
      <c r="I371">
        <f>VLOOKUP(H371, 'MLB Data'!$B$5:$D$34, 3, FALSE)</f>
        <v/>
      </c>
      <c r="J371" t="inlineStr">
        <is>
          <t>TARIK SKUBAL</t>
        </is>
      </c>
      <c r="L371" s="17">
        <f>VLOOKUP(H371, 'MLB Data'!$F$2:$H$34, 3, FALSE)</f>
        <v/>
      </c>
      <c r="M371" s="17">
        <f>IF((K371*0.6+L371*0.4)&lt;2.5, 2.8, IF((K371*0.6+L371*0.4)&gt;5.5, 5.2, (K371*0.6+L371*0.4)))</f>
        <v/>
      </c>
      <c r="O371" s="18">
        <f>(C371/100) * 4.1 * (M371 / 4.2) * T371</f>
        <v/>
      </c>
      <c r="P371" s="18">
        <f>(I371/100) * 4.05 * (G371 / 4.2) * T371</f>
        <v/>
      </c>
      <c r="Q371" s="18">
        <f>(O371+P371)</f>
        <v/>
      </c>
      <c r="S371" s="15">
        <f>H371</f>
        <v/>
      </c>
      <c r="T371" s="19">
        <f>IF(S371="ROCKIES",1.13,IF(S371="ATHLETICS",1.03,IF(S371="ROYALS",1.03,IF(S371="TWINS",1,IF(S371="TIGERS",1,IF(S371="MARLINS",1.01,IF(S371="REDS",1.05,IF(S371="RED SOX",1.04,IF(S371="YANKEES",1.02,IF(S371="DODGERS",0.99,IF(S371="PADRES",0.96,IF(S371="CUBS",0.98,IF(S371="GIANTS",0.97,IF(S371="MARINERS",0.94,IF(S371="RANGERS",1,IF(S371="ASTROS",0.99,IF(S371="BRAVES",1,IF(S371="METS",0.96,IF(S371="PHILLIES",1.02,IF(S371="BLUE JAYS",1.01,IF(S371="ORIOLES",0.99,IF(S371="RAYS",1.01,IF(S371="GUARDIANS",0.99,IF(S371="WHITE SOX",0.98,IF(S371="ANGELS",1.01,IF(S371="D-BACKS",1.01,IF(S371="BREWERS",0.99,IF(S371="CARDINALS",0.96,IF(S371="PIRATES",1.02,IF(S371="NATIONALS",1,1))))))))))))))))))))))))))))))*IF(W371="",1,(1+((W371-70)/10*0.035)))*IF(U371="DOME",1,IF(U371="IN",1-(V371*0.01),IF(U371="OUT",1+(V371*0.01),IF(OR(U371="L-R",U371="R-L"),1+(V371*0.005),1))))</f>
        <v/>
      </c>
      <c r="U371" t="inlineStr">
        <is>
          <t>CROSS</t>
        </is>
      </c>
      <c r="V371" t="n">
        <v>4</v>
      </c>
      <c r="W371" t="n">
        <v>49</v>
      </c>
      <c r="Y371">
        <f>B371 &amp; " vs. " &amp; H371</f>
        <v/>
      </c>
      <c r="Z371">
        <f>TRIM(LEFT(Y371, FIND("vs.", Y371)-1))</f>
        <v/>
      </c>
      <c r="AA371">
        <f>TRIM(MID(Y371, FIND(" vs. ", Y371)+4, 100))</f>
        <v/>
      </c>
      <c r="AB371" s="35">
        <f>IF(Q371 &gt; VALUE(AC371), "O " &amp; AC371, IF(Q371 &lt; VALUE(AC371), "U " &amp; AC371, AC371))</f>
        <v/>
      </c>
      <c r="AC371" s="15">
        <f>IF(OR(O371="-", P371="-"), "-", MROUND(O371 + P371, 0.5))</f>
        <v/>
      </c>
      <c r="AD371" s="15">
        <f>VALUE(TRIM(RIGHT(AF371, LEN(AF371) - FIND(" ", AF371))))</f>
        <v/>
      </c>
      <c r="AE371" s="15">
        <f>LEFT(AF371,FIND(" ",AF371)-1)</f>
        <v/>
      </c>
      <c r="AF371" s="15">
        <f>IF(OR(O371="-", P371="-"), "-",
IF(MROUND(ABS(O371-P371),0.5)&lt;=0.5,
IF(O371&gt;P371, B371 &amp; " ML", H371 &amp; " ML"),
IF(MROUND(ABS(O371-P371),0.5)=1,
IF(O371&gt;P371, H371 &amp; " +1.5", B371 &amp; " +1.5"),
IF(O371&gt;P371, B371 &amp; " -1.5", H371 &amp; " -1.5")
)
)
)</f>
        <v/>
      </c>
      <c r="AG371" s="15">
        <f>_xlfn.LET(
_xlpm.winA, O371^1.83 / (O371^1.83 + P371^1.83),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72">
      <c r="A372" s="73" t="n">
        <v>46124</v>
      </c>
      <c r="B372" t="inlineStr">
        <is>
          <t>YANKEES</t>
        </is>
      </c>
      <c r="C372">
        <f>VLOOKUP(B372, 'MLB Data'!$B$5:$D$34, 3, FALSE)</f>
        <v/>
      </c>
      <c r="D372" t="inlineStr">
        <is>
          <t>CAM SCHLITTLER</t>
        </is>
      </c>
      <c r="F372" s="17">
        <f>VLOOKUP(B372, 'MLB Data'!$F$2:$H$34, 3, FALSE)</f>
        <v/>
      </c>
      <c r="G372" s="17">
        <f>IF((E372*0.6+F372*0.4)&lt;2.5, 2.8, IF((E372*0.6+F372*0.4)&gt;5.5, 5.2, (E372*0.6+F372*0.4)))</f>
        <v/>
      </c>
      <c r="H372" t="inlineStr">
        <is>
          <t>RAYS</t>
        </is>
      </c>
      <c r="I372">
        <f>VLOOKUP(H372, 'MLB Data'!$B$5:$D$34, 3, FALSE)</f>
        <v/>
      </c>
      <c r="J372" t="inlineStr">
        <is>
          <t>DREW RASMUSSEN</t>
        </is>
      </c>
      <c r="L372" s="17">
        <f>VLOOKUP(H372, 'MLB Data'!$F$2:$H$34, 3, FALSE)</f>
        <v/>
      </c>
      <c r="M372" s="17">
        <f>IF((K372*0.6+L372*0.4)&lt;2.5, 2.8, IF((K372*0.6+L372*0.4)&gt;5.5, 5.2, (K372*0.6+L372*0.4)))</f>
        <v/>
      </c>
      <c r="O372" s="18">
        <f>(C372/100) * 4.1 * (M372 / 4.2) * T372</f>
        <v/>
      </c>
      <c r="P372" s="18">
        <f>(I372/100) * 4.05 * (G372 / 4.2) * T372</f>
        <v/>
      </c>
      <c r="Q372" s="18">
        <f>(O372+P372)</f>
        <v/>
      </c>
      <c r="S372" s="15">
        <f>H372</f>
        <v/>
      </c>
      <c r="T372" s="19">
        <f>IF(S372="ROCKIES",1.13,IF(S372="ATHLETICS",1.03,IF(S372="ROYALS",1.03,IF(S372="TWINS",1,IF(S372="TIGERS",1,IF(S372="MARLINS",1.01,IF(S372="REDS",1.05,IF(S372="RED SOX",1.04,IF(S372="YANKEES",1.02,IF(S372="DODGERS",0.99,IF(S372="PADRES",0.96,IF(S372="CUBS",0.98,IF(S372="GIANTS",0.97,IF(S372="MARINERS",0.94,IF(S372="RANGERS",1,IF(S372="ASTROS",0.99,IF(S372="BRAVES",1,IF(S372="METS",0.96,IF(S372="PHILLIES",1.02,IF(S372="BLUE JAYS",1.01,IF(S372="ORIOLES",0.99,IF(S372="RAYS",1.01,IF(S372="GUARDIANS",0.99,IF(S372="WHITE SOX",0.98,IF(S372="ANGELS",1.01,IF(S372="D-BACKS",1.01,IF(S372="BREWERS",0.99,IF(S372="CARDINALS",0.96,IF(S372="PIRATES",1.02,IF(S372="NATIONALS",1,1))))))))))))))))))))))))))))))*IF(W372="",1,(1+((W372-70)/10*0.035)))*IF(U372="DOME",1,IF(U372="IN",1-(V372*0.01),IF(U372="OUT",1+(V372*0.01),IF(OR(U372="L-R",U372="R-L"),1+(V372*0.005),1))))</f>
        <v/>
      </c>
      <c r="U372" t="inlineStr">
        <is>
          <t>DOME</t>
        </is>
      </c>
      <c r="V372" t="n">
        <v>0</v>
      </c>
      <c r="Y372">
        <f>B372 &amp; " vs. " &amp; H372</f>
        <v/>
      </c>
      <c r="Z372">
        <f>TRIM(LEFT(Y372, FIND("vs.", Y372)-1))</f>
        <v/>
      </c>
      <c r="AA372">
        <f>TRIM(MID(Y372, FIND(" vs. ", Y372)+4, 100))</f>
        <v/>
      </c>
      <c r="AB372" s="35">
        <f>IF(Q372 &gt; VALUE(AC372), "O " &amp; AC372, IF(Q372 &lt; VALUE(AC372), "U " &amp; AC372, AC372))</f>
        <v/>
      </c>
      <c r="AC372" s="15">
        <f>IF(OR(O372="-", P372="-"), "-", MROUND(O372 + P372, 0.5))</f>
        <v/>
      </c>
      <c r="AD372" s="15">
        <f>VALUE(TRIM(RIGHT(AF372, LEN(AF372) - FIND(" ", AF372))))</f>
        <v/>
      </c>
      <c r="AE372" s="15">
        <f>LEFT(AF372,FIND(" ",AF372)-1)</f>
        <v/>
      </c>
      <c r="AF372" s="15">
        <f>IF(OR(O372="-", P372="-"), "-",
IF(MROUND(ABS(O372-P372),0.5)&lt;=0.5,
IF(O372&gt;P372, B372 &amp; " ML", H372 &amp; " ML"),
IF(MROUND(ABS(O372-P372),0.5)=1,
IF(O372&gt;P372, H372 &amp; " +1.5", B372 &amp; " +1.5"),
IF(O372&gt;P372, B372 &amp; " -1.5", H372 &amp; " -1.5")
)
)
)</f>
        <v/>
      </c>
      <c r="AG372" s="15">
        <f>_xlfn.LET(
_xlpm.winA, O372^1.83 / (O372^1.83 + P372^1.83),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73">
      <c r="A373" s="73" t="n">
        <v>46124</v>
      </c>
      <c r="B373" t="inlineStr">
        <is>
          <t>WHITE SOX</t>
        </is>
      </c>
      <c r="C373">
        <f>VLOOKUP(B373, 'MLB Data'!$B$5:$D$34, 3, FALSE)</f>
        <v/>
      </c>
      <c r="D373" t="inlineStr">
        <is>
          <t>GRANT TAYLOR</t>
        </is>
      </c>
      <c r="F373" s="17">
        <f>VLOOKUP(B373, 'MLB Data'!$F$2:$H$34, 3, FALSE)</f>
        <v/>
      </c>
      <c r="G373" s="17">
        <f>IF((E373*0.6+F373*0.4)&lt;2.5, 2.8, IF((E373*0.6+F373*0.4)&gt;5.5, 5.2, (E373*0.6+F373*0.4)))</f>
        <v/>
      </c>
      <c r="H373" t="inlineStr">
        <is>
          <t>ROYALS</t>
        </is>
      </c>
      <c r="I373">
        <f>VLOOKUP(H373, 'MLB Data'!$B$5:$D$34, 3, FALSE)</f>
        <v/>
      </c>
      <c r="J373" t="inlineStr">
        <is>
          <t>NOAH CAMERON</t>
        </is>
      </c>
      <c r="L373" s="17">
        <f>VLOOKUP(H373, 'MLB Data'!$F$2:$H$34, 3, FALSE)</f>
        <v/>
      </c>
      <c r="M373" s="17">
        <f>IF((K373*0.6+L373*0.4)&lt;2.5, 2.8, IF((K373*0.6+L373*0.4)&gt;5.5, 5.2, (K373*0.6+L373*0.4)))</f>
        <v/>
      </c>
      <c r="O373" s="18">
        <f>(C373/100) * 4.1 * (M373 / 4.2) * T373</f>
        <v/>
      </c>
      <c r="P373" s="18">
        <f>(I373/100) * 4.05 * (G373 / 4.2) * T373</f>
        <v/>
      </c>
      <c r="Q373" s="18">
        <f>(O373+P373)</f>
        <v/>
      </c>
      <c r="S373" s="15">
        <f>H373</f>
        <v/>
      </c>
      <c r="T373" s="19">
        <f>IF(S373="ROCKIES",1.13,IF(S373="ATHLETICS",1.03,IF(S373="ROYALS",1.03,IF(S373="TWINS",1,IF(S373="TIGERS",1,IF(S373="MARLINS",1.01,IF(S373="REDS",1.05,IF(S373="RED SOX",1.04,IF(S373="YANKEES",1.02,IF(S373="DODGERS",0.99,IF(S373="PADRES",0.96,IF(S373="CUBS",0.98,IF(S373="GIANTS",0.97,IF(S373="MARINERS",0.94,IF(S373="RANGERS",1,IF(S373="ASTROS",0.99,IF(S373="BRAVES",1,IF(S373="METS",0.96,IF(S373="PHILLIES",1.02,IF(S373="BLUE JAYS",1.01,IF(S373="ORIOLES",0.99,IF(S373="RAYS",1.01,IF(S373="GUARDIANS",0.99,IF(S373="WHITE SOX",0.98,IF(S373="ANGELS",1.01,IF(S373="D-BACKS",1.01,IF(S373="BREWERS",0.99,IF(S373="CARDINALS",0.96,IF(S373="PIRATES",1.02,IF(S373="NATIONALS",1,1))))))))))))))))))))))))))))))*IF(W373="",1,(1+((W373-70)/10*0.035)))*IF(U373="DOME",1,IF(U373="IN",1-(V373*0.01),IF(U373="OUT",1+(V373*0.01),IF(OR(U373="L-R",U373="R-L"),1+(V373*0.005),1))))</f>
        <v/>
      </c>
      <c r="U373" t="inlineStr">
        <is>
          <t>OUT</t>
        </is>
      </c>
      <c r="V373" t="n">
        <v>9</v>
      </c>
      <c r="W373" t="n">
        <v>62</v>
      </c>
      <c r="Y373">
        <f>B373 &amp; " vs. " &amp; H373</f>
        <v/>
      </c>
      <c r="Z373">
        <f>TRIM(LEFT(Y373, FIND("vs.", Y373)-1))</f>
        <v/>
      </c>
      <c r="AA373">
        <f>TRIM(MID(Y373, FIND(" vs. ", Y373)+4, 100))</f>
        <v/>
      </c>
      <c r="AB373" s="35">
        <f>IF(Q373 &gt; VALUE(AC373), "O " &amp; AC373, IF(Q373 &lt; VALUE(AC373), "U " &amp; AC373, AC373))</f>
        <v/>
      </c>
      <c r="AC373" s="15">
        <f>IF(OR(O373="-", P373="-"), "-", MROUND(O373 + P373, 0.5))</f>
        <v/>
      </c>
      <c r="AD373" s="15">
        <f>VALUE(TRIM(RIGHT(AF373, LEN(AF373) - FIND(" ", AF373))))</f>
        <v/>
      </c>
      <c r="AE373" s="15">
        <f>LEFT(AF373,FIND(" ",AF373)-1)</f>
        <v/>
      </c>
      <c r="AF373" s="15">
        <f>IF(OR(O373="-", P373="-"), "-",
IF(MROUND(ABS(O373-P373),0.5)&lt;=0.5,
IF(O373&gt;P373, B373 &amp; " ML", H373 &amp; " ML"),
IF(MROUND(ABS(O373-P373),0.5)=1,
IF(O373&gt;P373, H373 &amp; " +1.5", B373 &amp; " +1.5"),
IF(O373&gt;P373, B373 &amp; " -1.5", H373 &amp; " -1.5")
)
)
)</f>
        <v/>
      </c>
      <c r="AG373" s="15">
        <f>_xlfn.LET(
_xlpm.winA, O373^1.83 / (O373^1.83 + P373^1.83),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74">
      <c r="A374" s="73" t="n">
        <v>46124</v>
      </c>
      <c r="B374" t="inlineStr">
        <is>
          <t>NATIONALS</t>
        </is>
      </c>
      <c r="C374">
        <f>VLOOKUP(B374, 'MLB Data'!$B$5:$D$34, 3, FALSE)</f>
        <v/>
      </c>
      <c r="D374" t="inlineStr">
        <is>
          <t>ZACK LITTELL</t>
        </is>
      </c>
      <c r="F374" s="17">
        <f>VLOOKUP(B374, 'MLB Data'!$F$2:$H$34, 3, FALSE)</f>
        <v/>
      </c>
      <c r="G374" s="17">
        <f>IF((E374*0.6+F374*0.4)&lt;2.5, 2.8, IF((E374*0.6+F374*0.4)&gt;5.5, 5.2, (E374*0.6+F374*0.4)))</f>
        <v/>
      </c>
      <c r="H374" t="inlineStr">
        <is>
          <t>BREWERS</t>
        </is>
      </c>
      <c r="I374">
        <f>VLOOKUP(H374, 'MLB Data'!$B$5:$D$34, 3, FALSE)</f>
        <v/>
      </c>
      <c r="J374" t="inlineStr">
        <is>
          <t>BRANDON WOODRUFF</t>
        </is>
      </c>
      <c r="L374" s="17">
        <f>VLOOKUP(H374, 'MLB Data'!$F$2:$H$34, 3, FALSE)</f>
        <v/>
      </c>
      <c r="M374" s="17">
        <f>IF((K374*0.6+L374*0.4)&lt;2.5, 2.8, IF((K374*0.6+L374*0.4)&gt;5.5, 5.2, (K374*0.6+L374*0.4)))</f>
        <v/>
      </c>
      <c r="O374" s="18">
        <f>(C374/100) * 4.1 * (M374 / 4.2) * T374</f>
        <v/>
      </c>
      <c r="P374" s="18">
        <f>(I374/100) * 4.05 * (G374 / 4.2) * T374</f>
        <v/>
      </c>
      <c r="Q374" s="18">
        <f>(O374+P374)</f>
        <v/>
      </c>
      <c r="S374" s="15">
        <f>H374</f>
        <v/>
      </c>
      <c r="T374" s="19">
        <f>IF(S374="ROCKIES",1.13,IF(S374="ATHLETICS",1.03,IF(S374="ROYALS",1.03,IF(S374="TWINS",1,IF(S374="TIGERS",1,IF(S374="MARLINS",1.01,IF(S374="REDS",1.05,IF(S374="RED SOX",1.04,IF(S374="YANKEES",1.02,IF(S374="DODGERS",0.99,IF(S374="PADRES",0.96,IF(S374="CUBS",0.98,IF(S374="GIANTS",0.97,IF(S374="MARINERS",0.94,IF(S374="RANGERS",1,IF(S374="ASTROS",0.99,IF(S374="BRAVES",1,IF(S374="METS",0.96,IF(S374="PHILLIES",1.02,IF(S374="BLUE JAYS",1.01,IF(S374="ORIOLES",0.99,IF(S374="RAYS",1.01,IF(S374="GUARDIANS",0.99,IF(S374="WHITE SOX",0.98,IF(S374="ANGELS",1.01,IF(S374="D-BACKS",1.01,IF(S374="BREWERS",0.99,IF(S374="CARDINALS",0.96,IF(S374="PIRATES",1.02,IF(S374="NATIONALS",1,1))))))))))))))))))))))))))))))*IF(W374="",1,(1+((W374-70)/10*0.035)))*IF(U374="DOME",1,IF(U374="IN",1-(V374*0.01),IF(U374="OUT",1+(V374*0.01),IF(OR(U374="L-R",U374="R-L"),1+(V374*0.005),1))))</f>
        <v/>
      </c>
      <c r="U374" t="inlineStr">
        <is>
          <t>DOME</t>
        </is>
      </c>
      <c r="V374" t="n">
        <v>0</v>
      </c>
      <c r="Y374">
        <f>B374 &amp; " vs. " &amp; H374</f>
        <v/>
      </c>
      <c r="Z374">
        <f>TRIM(LEFT(Y374, FIND("vs.", Y374)-1))</f>
        <v/>
      </c>
      <c r="AA374">
        <f>TRIM(MID(Y374, FIND(" vs. ", Y374)+4, 100))</f>
        <v/>
      </c>
      <c r="AB374" s="35">
        <f>IF(Q374 &gt; VALUE(AC374), "O " &amp; AC374, IF(Q374 &lt; VALUE(AC374), "U " &amp; AC374, AC374))</f>
        <v/>
      </c>
      <c r="AC374" s="15">
        <f>IF(OR(O374="-", P374="-"), "-", MROUND(O374 + P374, 0.5))</f>
        <v/>
      </c>
      <c r="AD374" s="15">
        <f>VALUE(TRIM(RIGHT(AF374, LEN(AF374) - FIND(" ", AF374))))</f>
        <v/>
      </c>
      <c r="AE374" s="15">
        <f>LEFT(AF374,FIND(" ",AF374)-1)</f>
        <v/>
      </c>
      <c r="AF374" s="15">
        <f>IF(OR(O374="-", P374="-"), "-",
IF(MROUND(ABS(O374-P374),0.5)&lt;=0.5,
IF(O374&gt;P374, B374 &amp; " ML", H374 &amp; " ML"),
IF(MROUND(ABS(O374-P374),0.5)=1,
IF(O374&gt;P374, H374 &amp; " +1.5", B374 &amp; " +1.5"),
IF(O374&gt;P374, B374 &amp; " -1.5", H374 &amp; " -1.5")
)
)
)</f>
        <v/>
      </c>
      <c r="AG374" s="15">
        <f>_xlfn.LET(
_xlpm.winA, O374^1.83 / (O374^1.83 + P374^1.83),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75">
      <c r="A375" s="73" t="n">
        <v>46124</v>
      </c>
      <c r="B375" t="inlineStr">
        <is>
          <t>RED SOX</t>
        </is>
      </c>
      <c r="C375">
        <f>VLOOKUP(B375, 'MLB Data'!$B$5:$D$34, 3, FALSE)</f>
        <v/>
      </c>
      <c r="D375" t="inlineStr">
        <is>
          <t>BRAYAN BELLO</t>
        </is>
      </c>
      <c r="F375" s="17">
        <f>VLOOKUP(B375, 'MLB Data'!$F$2:$H$34, 3, FALSE)</f>
        <v/>
      </c>
      <c r="G375" s="17">
        <f>IF((E375*0.6+F375*0.4)&lt;2.5, 2.8, IF((E375*0.6+F375*0.4)&gt;5.5, 5.2, (E375*0.6+F375*0.4)))</f>
        <v/>
      </c>
      <c r="H375" t="inlineStr">
        <is>
          <t>CARDINALS</t>
        </is>
      </c>
      <c r="I375">
        <f>VLOOKUP(H375, 'MLB Data'!$B$5:$D$34, 3, FALSE)</f>
        <v/>
      </c>
      <c r="J375" t="inlineStr">
        <is>
          <t>ANDRE PALLANTE</t>
        </is>
      </c>
      <c r="L375" s="17">
        <f>VLOOKUP(H375, 'MLB Data'!$F$2:$H$34, 3, FALSE)</f>
        <v/>
      </c>
      <c r="M375" s="17">
        <f>IF((K375*0.6+L375*0.4)&lt;2.5, 2.8, IF((K375*0.6+L375*0.4)&gt;5.5, 5.2, (K375*0.6+L375*0.4)))</f>
        <v/>
      </c>
      <c r="O375" s="18">
        <f>(C375/100) * 4.1 * (M375 / 4.2) * T375</f>
        <v/>
      </c>
      <c r="P375" s="18">
        <f>(I375/100) * 4.05 * (G375 / 4.2) * T375</f>
        <v/>
      </c>
      <c r="Q375" s="18">
        <f>(O375+P375)</f>
        <v/>
      </c>
      <c r="S375" s="15">
        <f>H375</f>
        <v/>
      </c>
      <c r="T375" s="19">
        <f>IF(S375="ROCKIES",1.13,IF(S375="ATHLETICS",1.03,IF(S375="ROYALS",1.03,IF(S375="TWINS",1,IF(S375="TIGERS",1,IF(S375="MARLINS",1.01,IF(S375="REDS",1.05,IF(S375="RED SOX",1.04,IF(S375="YANKEES",1.02,IF(S375="DODGERS",0.99,IF(S375="PADRES",0.96,IF(S375="CUBS",0.98,IF(S375="GIANTS",0.97,IF(S375="MARINERS",0.94,IF(S375="RANGERS",1,IF(S375="ASTROS",0.99,IF(S375="BRAVES",1,IF(S375="METS",0.96,IF(S375="PHILLIES",1.02,IF(S375="BLUE JAYS",1.01,IF(S375="ORIOLES",0.99,IF(S375="RAYS",1.01,IF(S375="GUARDIANS",0.99,IF(S375="WHITE SOX",0.98,IF(S375="ANGELS",1.01,IF(S375="D-BACKS",1.01,IF(S375="BREWERS",0.99,IF(S375="CARDINALS",0.96,IF(S375="PIRATES",1.02,IF(S375="NATIONALS",1,1))))))))))))))))))))))))))))))*IF(W375="",1,(1+((W375-70)/10*0.035)))*IF(U375="DOME",1,IF(U375="IN",1-(V375*0.01),IF(U375="OUT",1+(V375*0.01),IF(OR(U375="L-R",U375="R-L"),1+(V375*0.005),1))))</f>
        <v/>
      </c>
      <c r="U375" t="inlineStr">
        <is>
          <t>OUT</t>
        </is>
      </c>
      <c r="V375" t="n">
        <v>8</v>
      </c>
      <c r="W375" t="n">
        <v>67</v>
      </c>
      <c r="Y375">
        <f>B375 &amp; " vs. " &amp; H375</f>
        <v/>
      </c>
      <c r="Z375">
        <f>TRIM(LEFT(Y375, FIND("vs.", Y375)-1))</f>
        <v/>
      </c>
      <c r="AA375">
        <f>TRIM(MID(Y375, FIND(" vs. ", Y375)+4, 100))</f>
        <v/>
      </c>
      <c r="AB375" s="35">
        <f>IF(Q375 &gt; VALUE(AC375), "O " &amp; AC375, IF(Q375 &lt; VALUE(AC375), "U " &amp; AC375, AC375))</f>
        <v/>
      </c>
      <c r="AC375" s="15">
        <f>IF(OR(O375="-", P375="-"), "-", MROUND(O375 + P375, 0.5))</f>
        <v/>
      </c>
      <c r="AD375" s="15">
        <f>VALUE(TRIM(RIGHT(AF375, LEN(AF375) - FIND(" ", AF375))))</f>
        <v/>
      </c>
      <c r="AE375" s="15">
        <f>LEFT(AF375,FIND(" ",AF375)-1)</f>
        <v/>
      </c>
      <c r="AF375" s="15">
        <f>IF(OR(O375="-", P375="-"), "-",
IF(MROUND(ABS(O375-P375),0.5)&lt;=0.5,
IF(O375&gt;P375, B375 &amp; " ML", H375 &amp; " ML"),
IF(MROUND(ABS(O375-P375),0.5)=1,
IF(O375&gt;P375, H375 &amp; " +1.5", B375 &amp; " +1.5"),
IF(O375&gt;P375, B375 &amp; " -1.5", H375 &amp; " -1.5")
)
)
)</f>
        <v/>
      </c>
      <c r="AG375" s="15">
        <f>_xlfn.LET(
_xlpm.winA, O375^1.83 / (O375^1.83 + P375^1.83),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76">
      <c r="A376" s="73" t="n">
        <v>46124</v>
      </c>
      <c r="B376" t="inlineStr">
        <is>
          <t>PIRATES</t>
        </is>
      </c>
      <c r="C376">
        <f>VLOOKUP(B376, 'MLB Data'!$B$5:$D$34, 3, FALSE)</f>
        <v/>
      </c>
      <c r="D376" t="inlineStr">
        <is>
          <t>BUBBA CHANDLER</t>
        </is>
      </c>
      <c r="F376" s="17">
        <f>VLOOKUP(B376, 'MLB Data'!$F$2:$H$34, 3, FALSE)</f>
        <v/>
      </c>
      <c r="G376" s="17">
        <f>IF((E376*0.6+F376*0.4)&lt;2.5, 2.8, IF((E376*0.6+F376*0.4)&gt;5.5, 5.2, (E376*0.6+F376*0.4)))</f>
        <v/>
      </c>
      <c r="H376" t="inlineStr">
        <is>
          <t>CUBS</t>
        </is>
      </c>
      <c r="I376">
        <f>VLOOKUP(H376, 'MLB Data'!$B$5:$D$34, 3, FALSE)</f>
        <v/>
      </c>
      <c r="J376" t="inlineStr">
        <is>
          <t>JAMESON TAILLON</t>
        </is>
      </c>
      <c r="L376" s="17">
        <f>VLOOKUP(H376, 'MLB Data'!$F$2:$H$34, 3, FALSE)</f>
        <v/>
      </c>
      <c r="M376" s="17">
        <f>IF((K376*0.6+L376*0.4)&lt;2.5, 2.8, IF((K376*0.6+L376*0.4)&gt;5.5, 5.2, (K376*0.6+L376*0.4)))</f>
        <v/>
      </c>
      <c r="O376" s="18">
        <f>(C376/100) * 4.1 * (M376 / 4.2) * T376</f>
        <v/>
      </c>
      <c r="P376" s="18">
        <f>(I376/100) * 4.05 * (G376 / 4.2) * T376</f>
        <v/>
      </c>
      <c r="Q376" s="18">
        <f>(O376+P376)</f>
        <v/>
      </c>
      <c r="S376" s="15">
        <f>H376</f>
        <v/>
      </c>
      <c r="T376" s="19">
        <f>IF(S376="ROCKIES",1.13,IF(S376="ATHLETICS",1.03,IF(S376="ROYALS",1.03,IF(S376="TWINS",1,IF(S376="TIGERS",1,IF(S376="MARLINS",1.01,IF(S376="REDS",1.05,IF(S376="RED SOX",1.04,IF(S376="YANKEES",1.02,IF(S376="DODGERS",0.99,IF(S376="PADRES",0.96,IF(S376="CUBS",0.98,IF(S376="GIANTS",0.97,IF(S376="MARINERS",0.94,IF(S376="RANGERS",1,IF(S376="ASTROS",0.99,IF(S376="BRAVES",1,IF(S376="METS",0.96,IF(S376="PHILLIES",1.02,IF(S376="BLUE JAYS",1.01,IF(S376="ORIOLES",0.99,IF(S376="RAYS",1.01,IF(S376="GUARDIANS",0.99,IF(S376="WHITE SOX",0.98,IF(S376="ANGELS",1.01,IF(S376="D-BACKS",1.01,IF(S376="BREWERS",0.99,IF(S376="CARDINALS",0.96,IF(S376="PIRATES",1.02,IF(S376="NATIONALS",1,1))))))))))))))))))))))))))))))*IF(W376="",1,(1+((W376-70)/10*0.035)))*IF(U376="DOME",1,IF(U376="IN",1-(V376*0.01),IF(U376="OUT",1+(V376*0.01),IF(OR(U376="L-R",U376="R-L"),1+(V376*0.005),1))))</f>
        <v/>
      </c>
      <c r="U376" t="inlineStr">
        <is>
          <t>IN</t>
        </is>
      </c>
      <c r="V376" t="n">
        <v>7</v>
      </c>
      <c r="W376" t="n">
        <v>45</v>
      </c>
      <c r="Y376">
        <f>B376 &amp; " vs. " &amp; H376</f>
        <v/>
      </c>
      <c r="Z376">
        <f>TRIM(LEFT(Y376, FIND("vs.", Y376)-1))</f>
        <v/>
      </c>
      <c r="AA376">
        <f>TRIM(MID(Y376, FIND(" vs. ", Y376)+4, 100))</f>
        <v/>
      </c>
      <c r="AB376" s="35">
        <f>IF(Q376 &gt; VALUE(AC376), "O " &amp; AC376, IF(Q376 &lt; VALUE(AC376), "U " &amp; AC376, AC376))</f>
        <v/>
      </c>
      <c r="AC376" s="15">
        <f>IF(OR(O376="-", P376="-"), "-", MROUND(O376 + P376, 0.5))</f>
        <v/>
      </c>
      <c r="AD376" s="15">
        <f>VALUE(TRIM(RIGHT(AF376, LEN(AF376) - FIND(" ", AF376))))</f>
        <v/>
      </c>
      <c r="AE376" s="15">
        <f>LEFT(AF376,FIND(" ",AF376)-1)</f>
        <v/>
      </c>
      <c r="AF376" s="15">
        <f>IF(OR(O376="-", P376="-"), "-",
IF(MROUND(ABS(O376-P376),0.5)&lt;=0.5,
IF(O376&gt;P376, B376 &amp; " ML", H376 &amp; " ML"),
IF(MROUND(ABS(O376-P376),0.5)=1,
IF(O376&gt;P376, H376 &amp; " +1.5", B376 &amp; " +1.5"),
IF(O376&gt;P376, B376 &amp; " -1.5", H376 &amp; " -1.5")
)
)
)</f>
        <v/>
      </c>
      <c r="AG376" s="15">
        <f>_xlfn.LET(
_xlpm.winA, O376^1.83 / (O376^1.83 + P376^1.83),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77">
      <c r="A377" s="73" t="n">
        <v>46124</v>
      </c>
      <c r="B377" t="inlineStr">
        <is>
          <t>ROCKIES</t>
        </is>
      </c>
      <c r="C377">
        <f>VLOOKUP(B377, 'MLB Data'!$B$5:$D$34, 3, FALSE)</f>
        <v/>
      </c>
      <c r="D377" t="inlineStr">
        <is>
          <t>KYLE FREELAND</t>
        </is>
      </c>
      <c r="F377" s="17">
        <f>VLOOKUP(B377, 'MLB Data'!$F$2:$H$34, 3, FALSE)</f>
        <v/>
      </c>
      <c r="G377" s="17">
        <f>IF((E377*0.6+F377*0.4)&lt;2.5, 2.8, IF((E377*0.6+F377*0.4)&gt;5.5, 5.2, (E377*0.6+F377*0.4)))</f>
        <v/>
      </c>
      <c r="H377" t="inlineStr">
        <is>
          <t>PADRES</t>
        </is>
      </c>
      <c r="I377">
        <f>VLOOKUP(H377, 'MLB Data'!$B$5:$D$34, 3, FALSE)</f>
        <v/>
      </c>
      <c r="J377" t="inlineStr">
        <is>
          <t>NICK PIVETTA</t>
        </is>
      </c>
      <c r="L377" s="17">
        <f>VLOOKUP(H377, 'MLB Data'!$F$2:$H$34, 3, FALSE)</f>
        <v/>
      </c>
      <c r="M377" s="17">
        <f>IF((K377*0.6+L377*0.4)&lt;2.5, 2.8, IF((K377*0.6+L377*0.4)&gt;5.5, 5.2, (K377*0.6+L377*0.4)))</f>
        <v/>
      </c>
      <c r="O377" s="18">
        <f>(C377/100) * 4.1 * (M377 / 4.2) * T377</f>
        <v/>
      </c>
      <c r="P377" s="18">
        <f>(I377/100) * 4.05 * (G377 / 4.2) * T377</f>
        <v/>
      </c>
      <c r="Q377" s="18">
        <f>(O377+P377)</f>
        <v/>
      </c>
      <c r="S377" s="15">
        <f>H377</f>
        <v/>
      </c>
      <c r="T377" s="19">
        <f>IF(S377="ROCKIES",1.13,IF(S377="ATHLETICS",1.03,IF(S377="ROYALS",1.03,IF(S377="TWINS",1,IF(S377="TIGERS",1,IF(S377="MARLINS",1.01,IF(S377="REDS",1.05,IF(S377="RED SOX",1.04,IF(S377="YANKEES",1.02,IF(S377="DODGERS",0.99,IF(S377="PADRES",0.96,IF(S377="CUBS",0.98,IF(S377="GIANTS",0.97,IF(S377="MARINERS",0.94,IF(S377="RANGERS",1,IF(S377="ASTROS",0.99,IF(S377="BRAVES",1,IF(S377="METS",0.96,IF(S377="PHILLIES",1.02,IF(S377="BLUE JAYS",1.01,IF(S377="ORIOLES",0.99,IF(S377="RAYS",1.01,IF(S377="GUARDIANS",0.99,IF(S377="WHITE SOX",0.98,IF(S377="ANGELS",1.01,IF(S377="D-BACKS",1.01,IF(S377="BREWERS",0.99,IF(S377="CARDINALS",0.96,IF(S377="PIRATES",1.02,IF(S377="NATIONALS",1,1))))))))))))))))))))))))))))))*IF(W377="",1,(1+((W377-70)/10*0.035)))*IF(U377="DOME",1,IF(U377="IN",1-(V377*0.01),IF(U377="OUT",1+(V377*0.01),IF(OR(U377="L-R",U377="R-L"),1+(V377*0.005),1))))</f>
        <v/>
      </c>
      <c r="U377" t="inlineStr">
        <is>
          <t>CROSS</t>
        </is>
      </c>
      <c r="V377" t="n">
        <v>9</v>
      </c>
      <c r="W377" t="n">
        <v>69</v>
      </c>
      <c r="Y377">
        <f>B377 &amp; " vs. " &amp; H377</f>
        <v/>
      </c>
      <c r="Z377">
        <f>TRIM(LEFT(Y377, FIND("vs.", Y377)-1))</f>
        <v/>
      </c>
      <c r="AA377">
        <f>TRIM(MID(Y377, FIND(" vs. ", Y377)+4, 100))</f>
        <v/>
      </c>
      <c r="AB377" s="35">
        <f>IF(Q377 &gt; VALUE(AC377), "O " &amp; AC377, IF(Q377 &lt; VALUE(AC377), "U " &amp; AC377, AC377))</f>
        <v/>
      </c>
      <c r="AC377" s="15">
        <f>IF(OR(O377="-", P377="-"), "-", MROUND(O377 + P377, 0.5))</f>
        <v/>
      </c>
      <c r="AD377" s="15">
        <f>VALUE(TRIM(RIGHT(AF377, LEN(AF377) - FIND(" ", AF377))))</f>
        <v/>
      </c>
      <c r="AE377" s="15">
        <f>LEFT(AF377,FIND(" ",AF377)-1)</f>
        <v/>
      </c>
      <c r="AF377" s="15">
        <f>IF(OR(O377="-", P377="-"), "-",
IF(MROUND(ABS(O377-P377),0.5)&lt;=0.5,
IF(O377&gt;P377, B377 &amp; " ML", H377 &amp; " ML"),
IF(MROUND(ABS(O377-P377),0.5)=1,
IF(O377&gt;P377, H377 &amp; " +1.5", B377 &amp; " +1.5"),
IF(O377&gt;P377, B377 &amp; " -1.5", H377 &amp; " -1.5")
)
)
)</f>
        <v/>
      </c>
      <c r="AG377" s="15">
        <f>_xlfn.LET(
_xlpm.winA, O377^1.83 / (O377^1.83 + P377^1.83),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78">
      <c r="A378" s="73" t="n">
        <v>46124</v>
      </c>
      <c r="B378" t="inlineStr">
        <is>
          <t>ASTROS</t>
        </is>
      </c>
      <c r="C378">
        <f>VLOOKUP(B378, 'MLB Data'!$B$5:$D$34, 3, FALSE)</f>
        <v/>
      </c>
      <c r="D378" t="inlineStr">
        <is>
          <t>TBD</t>
        </is>
      </c>
      <c r="F378" s="17">
        <f>VLOOKUP(B378, 'MLB Data'!$F$2:$H$34, 3, FALSE)</f>
        <v/>
      </c>
      <c r="G378" s="17">
        <f>IF((E378*0.6+F378*0.4)&lt;2.5, 2.8, IF((E378*0.6+F378*0.4)&gt;5.5, 5.2, (E378*0.6+F378*0.4)))</f>
        <v/>
      </c>
      <c r="H378" t="inlineStr">
        <is>
          <t>MARINERS</t>
        </is>
      </c>
      <c r="I378">
        <f>VLOOKUP(H378, 'MLB Data'!$B$5:$D$34, 3, FALSE)</f>
        <v/>
      </c>
      <c r="J378" t="inlineStr">
        <is>
          <t>LOGAN GILBERT</t>
        </is>
      </c>
      <c r="L378" s="17">
        <f>VLOOKUP(H378, 'MLB Data'!$F$2:$H$34, 3, FALSE)</f>
        <v/>
      </c>
      <c r="M378" s="17">
        <f>IF((K378*0.6+L378*0.4)&lt;2.5, 2.8, IF((K378*0.6+L378*0.4)&gt;5.5, 5.2, (K378*0.6+L378*0.4)))</f>
        <v/>
      </c>
      <c r="O378" s="18">
        <f>(C378/100) * 4.1 * (M378 / 4.2) * T378</f>
        <v/>
      </c>
      <c r="P378" s="18">
        <f>(I378/100) * 4.05 * (G378 / 4.2) * T378</f>
        <v/>
      </c>
      <c r="Q378" s="18">
        <f>(O378+P378)</f>
        <v/>
      </c>
      <c r="S378" s="15">
        <f>H378</f>
        <v/>
      </c>
      <c r="T378" s="19">
        <f>IF(S378="ROCKIES",1.13,IF(S378="ATHLETICS",1.03,IF(S378="ROYALS",1.03,IF(S378="TWINS",1,IF(S378="TIGERS",1,IF(S378="MARLINS",1.01,IF(S378="REDS",1.05,IF(S378="RED SOX",1.04,IF(S378="YANKEES",1.02,IF(S378="DODGERS",0.99,IF(S378="PADRES",0.96,IF(S378="CUBS",0.98,IF(S378="GIANTS",0.97,IF(S378="MARINERS",0.94,IF(S378="RANGERS",1,IF(S378="ASTROS",0.99,IF(S378="BRAVES",1,IF(S378="METS",0.96,IF(S378="PHILLIES",1.02,IF(S378="BLUE JAYS",1.01,IF(S378="ORIOLES",0.99,IF(S378="RAYS",1.01,IF(S378="GUARDIANS",0.99,IF(S378="WHITE SOX",0.98,IF(S378="ANGELS",1.01,IF(S378="D-BACKS",1.01,IF(S378="BREWERS",0.99,IF(S378="CARDINALS",0.96,IF(S378="PIRATES",1.02,IF(S378="NATIONALS",1,1))))))))))))))))))))))))))))))*IF(W378="",1,(1+((W378-70)/10*0.035)))*IF(U378="DOME",1,IF(U378="IN",1-(V378*0.01),IF(U378="OUT",1+(V378*0.01),IF(OR(U378="L-R",U378="R-L"),1+(V378*0.005),1))))</f>
        <v/>
      </c>
      <c r="U378" t="inlineStr">
        <is>
          <t>OUT</t>
        </is>
      </c>
      <c r="V378" t="n">
        <v>6</v>
      </c>
      <c r="W378" t="n">
        <v>50</v>
      </c>
      <c r="Y378">
        <f>B378 &amp; " vs. " &amp; H378</f>
        <v/>
      </c>
      <c r="Z378">
        <f>TRIM(LEFT(Y378, FIND("vs.", Y378)-1))</f>
        <v/>
      </c>
      <c r="AA378">
        <f>TRIM(MID(Y378, FIND(" vs. ", Y378)+4, 100))</f>
        <v/>
      </c>
      <c r="AB378" s="35">
        <f>IF(Q378 &gt; VALUE(AC378), "O " &amp; AC378, IF(Q378 &lt; VALUE(AC378), "U " &amp; AC378, AC378))</f>
        <v/>
      </c>
      <c r="AC378" s="15">
        <f>IF(OR(O378="-", P378="-"), "-", MROUND(O378 + P378, 0.5))</f>
        <v/>
      </c>
      <c r="AD378" s="15">
        <f>VALUE(TRIM(RIGHT(AF378, LEN(AF378) - FIND(" ", AF378))))</f>
        <v/>
      </c>
      <c r="AE378" s="15">
        <f>LEFT(AF378,FIND(" ",AF378)-1)</f>
        <v/>
      </c>
      <c r="AF378" s="15">
        <f>IF(OR(O378="-", P378="-"), "-",
IF(MROUND(ABS(O378-P378),0.5)&lt;=0.5,
IF(O378&gt;P378, B378 &amp; " ML", H378 &amp; " ML"),
IF(MROUND(ABS(O378-P378),0.5)=1,
IF(O378&gt;P378, H378 &amp; " +1.5", B378 &amp; " +1.5"),
IF(O378&gt;P378, B378 &amp; " -1.5", H378 &amp; " -1.5")
)
)
)</f>
        <v/>
      </c>
      <c r="AG378" s="15">
        <f>_xlfn.LET(
_xlpm.winA, O378^1.83 / (O378^1.83 + P378^1.83),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79">
      <c r="A379" s="73" t="n">
        <v>46124</v>
      </c>
      <c r="B379" t="inlineStr">
        <is>
          <t>RANGERS</t>
        </is>
      </c>
      <c r="C379">
        <f>VLOOKUP(B379, 'MLB Data'!$B$5:$D$34, 3, FALSE)</f>
        <v/>
      </c>
      <c r="D379" t="inlineStr">
        <is>
          <t>JACOB DEGROM</t>
        </is>
      </c>
      <c r="F379" s="17">
        <f>VLOOKUP(B379, 'MLB Data'!$F$2:$H$34, 3, FALSE)</f>
        <v/>
      </c>
      <c r="G379" s="17">
        <f>IF((E379*0.6+F379*0.4)&lt;2.5, 2.8, IF((E379*0.6+F379*0.4)&gt;5.5, 5.2, (E379*0.6+F379*0.4)))</f>
        <v/>
      </c>
      <c r="H379" t="inlineStr">
        <is>
          <t>DODGERS</t>
        </is>
      </c>
      <c r="I379">
        <f>VLOOKUP(H379, 'MLB Data'!$B$5:$D$34, 3, FALSE)</f>
        <v/>
      </c>
      <c r="J379" t="inlineStr">
        <is>
          <t>ROKI SASAKI</t>
        </is>
      </c>
      <c r="L379" s="17">
        <f>VLOOKUP(H379, 'MLB Data'!$F$2:$H$34, 3, FALSE)</f>
        <v/>
      </c>
      <c r="M379" s="17">
        <f>IF((K379*0.6+L379*0.4)&lt;2.5, 2.8, IF((K379*0.6+L379*0.4)&gt;5.5, 5.2, (K379*0.6+L379*0.4)))</f>
        <v/>
      </c>
      <c r="O379" s="18">
        <f>(C379/100) * 4.1 * (M379 / 4.2) * T379</f>
        <v/>
      </c>
      <c r="P379" s="18">
        <f>(I379/100) * 4.05 * (G379 / 4.2) * T379</f>
        <v/>
      </c>
      <c r="Q379" s="18">
        <f>(O379+P379)</f>
        <v/>
      </c>
      <c r="S379" s="15">
        <f>H379</f>
        <v/>
      </c>
      <c r="T379" s="19">
        <f>IF(S379="ROCKIES",1.13,IF(S379="ATHLETICS",1.03,IF(S379="ROYALS",1.03,IF(S379="TWINS",1,IF(S379="TIGERS",1,IF(S379="MARLINS",1.01,IF(S379="REDS",1.05,IF(S379="RED SOX",1.04,IF(S379="YANKEES",1.02,IF(S379="DODGERS",0.99,IF(S379="PADRES",0.96,IF(S379="CUBS",0.98,IF(S379="GIANTS",0.97,IF(S379="MARINERS",0.94,IF(S379="RANGERS",1,IF(S379="ASTROS",0.99,IF(S379="BRAVES",1,IF(S379="METS",0.96,IF(S379="PHILLIES",1.02,IF(S379="BLUE JAYS",1.01,IF(S379="ORIOLES",0.99,IF(S379="RAYS",1.01,IF(S379="GUARDIANS",0.99,IF(S379="WHITE SOX",0.98,IF(S379="ANGELS",1.01,IF(S379="D-BACKS",1.01,IF(S379="BREWERS",0.99,IF(S379="CARDINALS",0.96,IF(S379="PIRATES",1.02,IF(S379="NATIONALS",1,1))))))))))))))))))))))))))))))*IF(W379="",1,(1+((W379-70)/10*0.035)))*IF(U379="DOME",1,IF(U379="IN",1-(V379*0.01),IF(U379="OUT",1+(V379*0.01),IF(OR(U379="L-R",U379="R-L"),1+(V379*0.005),1))))</f>
        <v/>
      </c>
      <c r="U379" t="inlineStr">
        <is>
          <t>OUT</t>
        </is>
      </c>
      <c r="V379" t="n">
        <v>10</v>
      </c>
      <c r="W379" t="n">
        <v>70</v>
      </c>
      <c r="Y379">
        <f>B379 &amp; " vs. " &amp; H379</f>
        <v/>
      </c>
      <c r="Z379">
        <f>TRIM(LEFT(Y379, FIND("vs.", Y379)-1))</f>
        <v/>
      </c>
      <c r="AA379">
        <f>TRIM(MID(Y379, FIND(" vs. ", Y379)+4, 100))</f>
        <v/>
      </c>
      <c r="AB379" s="35">
        <f>IF(Q379 &gt; VALUE(AC379), "O " &amp; AC379, IF(Q379 &lt; VALUE(AC379), "U " &amp; AC379, AC379))</f>
        <v/>
      </c>
      <c r="AC379" s="15">
        <f>IF(OR(O379="-", P379="-"), "-", MROUND(O379 + P379, 0.5))</f>
        <v/>
      </c>
      <c r="AD379" s="15">
        <f>VALUE(TRIM(RIGHT(AF379, LEN(AF379) - FIND(" ", AF379))))</f>
        <v/>
      </c>
      <c r="AE379" s="15">
        <f>LEFT(AF379,FIND(" ",AF379)-1)</f>
        <v/>
      </c>
      <c r="AF379" s="15">
        <f>IF(OR(O379="-", P379="-"), "-",
IF(MROUND(ABS(O379-P379),0.5)&lt;=0.5,
IF(O379&gt;P379, B379 &amp; " ML", H379 &amp; " ML"),
IF(MROUND(ABS(O379-P379),0.5)=1,
IF(O379&gt;P379, H379 &amp; " +1.5", B379 &amp; " +1.5"),
IF(O379&gt;P379, B379 &amp; " -1.5", H379 &amp; " -1.5")
)
)
)</f>
        <v/>
      </c>
      <c r="AG379" s="15">
        <f>_xlfn.LET(
_xlpm.winA, O379^1.83 / (O379^1.83 + P379^1.83),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80">
      <c r="A380" s="73" t="n">
        <v>46124</v>
      </c>
      <c r="B380" t="inlineStr">
        <is>
          <t>GUARDIANS</t>
        </is>
      </c>
      <c r="C380">
        <f>VLOOKUP(B380, 'MLB Data'!$B$5:$D$34, 3, FALSE)</f>
        <v/>
      </c>
      <c r="D380" t="inlineStr">
        <is>
          <t>TANNER BIBEE</t>
        </is>
      </c>
      <c r="F380" s="17">
        <f>VLOOKUP(B380, 'MLB Data'!$F$2:$H$34, 3, FALSE)</f>
        <v/>
      </c>
      <c r="G380" s="17">
        <f>IF((E380*0.6+F380*0.4)&lt;2.5, 2.8, IF((E380*0.6+F380*0.4)&gt;5.5, 5.2, (E380*0.6+F380*0.4)))</f>
        <v/>
      </c>
      <c r="H380" t="inlineStr">
        <is>
          <t>BRAVES</t>
        </is>
      </c>
      <c r="I380">
        <f>VLOOKUP(H380, 'MLB Data'!$B$5:$D$34, 3, FALSE)</f>
        <v/>
      </c>
      <c r="J380" t="inlineStr">
        <is>
          <t>CHRIS SALE</t>
        </is>
      </c>
      <c r="L380" s="17">
        <f>VLOOKUP(H380, 'MLB Data'!$F$2:$H$34, 3, FALSE)</f>
        <v/>
      </c>
      <c r="M380" s="17">
        <f>IF((K380*0.6+L380*0.4)&lt;2.5, 2.8, IF((K380*0.6+L380*0.4)&gt;5.5, 5.2, (K380*0.6+L380*0.4)))</f>
        <v/>
      </c>
      <c r="O380" s="18">
        <f>(C380/100) * 4.1 * (M380 / 4.2) * T380</f>
        <v/>
      </c>
      <c r="P380" s="18">
        <f>(I380/100) * 4.05 * (G380 / 4.2) * T380</f>
        <v/>
      </c>
      <c r="Q380" s="18">
        <f>(O380+P380)</f>
        <v/>
      </c>
      <c r="S380" s="15">
        <f>H380</f>
        <v/>
      </c>
      <c r="T380" s="19">
        <f>IF(S380="ROCKIES",1.13,IF(S380="ATHLETICS",1.03,IF(S380="ROYALS",1.03,IF(S380="TWINS",1,IF(S380="TIGERS",1,IF(S380="MARLINS",1.01,IF(S380="REDS",1.05,IF(S380="RED SOX",1.04,IF(S380="YANKEES",1.02,IF(S380="DODGERS",0.99,IF(S380="PADRES",0.96,IF(S380="CUBS",0.98,IF(S380="GIANTS",0.97,IF(S380="MARINERS",0.94,IF(S380="RANGERS",1,IF(S380="ASTROS",0.99,IF(S380="BRAVES",1,IF(S380="METS",0.96,IF(S380="PHILLIES",1.02,IF(S380="BLUE JAYS",1.01,IF(S380="ORIOLES",0.99,IF(S380="RAYS",1.01,IF(S380="GUARDIANS",0.99,IF(S380="WHITE SOX",0.98,IF(S380="ANGELS",1.01,IF(S380="D-BACKS",1.01,IF(S380="BREWERS",0.99,IF(S380="CARDINALS",0.96,IF(S380="PIRATES",1.02,IF(S380="NATIONALS",1,1))))))))))))))))))))))))))))))*IF(W380="",1,(1+((W380-70)/10*0.035)))*IF(U380="DOME",1,IF(U380="IN",1-(V380*0.01),IF(U380="OUT",1+(V380*0.01),IF(OR(U380="L-R",U380="R-L"),1+(V380*0.005),1))))</f>
        <v/>
      </c>
      <c r="U380" t="inlineStr">
        <is>
          <t>CROSS</t>
        </is>
      </c>
      <c r="V380" t="n">
        <v>7</v>
      </c>
      <c r="W380" t="n">
        <v>84</v>
      </c>
      <c r="Y380">
        <f>B380 &amp; " vs. " &amp; H380</f>
        <v/>
      </c>
      <c r="Z380">
        <f>TRIM(LEFT(Y380, FIND("vs.", Y380)-1))</f>
        <v/>
      </c>
      <c r="AA380">
        <f>TRIM(MID(Y380, FIND(" vs. ", Y380)+4, 100))</f>
        <v/>
      </c>
      <c r="AB380" s="35">
        <f>IF(Q380 &gt; VALUE(AC380), "O " &amp; AC380, IF(Q380 &lt; VALUE(AC380), "U " &amp; AC380, AC380))</f>
        <v/>
      </c>
      <c r="AC380" s="15">
        <f>IF(OR(O380="-", P380="-"), "-", MROUND(O380 + P380, 0.5))</f>
        <v/>
      </c>
      <c r="AD380" s="15">
        <f>VALUE(TRIM(RIGHT(AF380, LEN(AF380) - FIND(" ", AF380))))</f>
        <v/>
      </c>
      <c r="AE380" s="15">
        <f>LEFT(AF380,FIND(" ",AF380)-1)</f>
        <v/>
      </c>
      <c r="AF380" s="15">
        <f>IF(OR(O380="-", P380="-"), "-",
IF(MROUND(ABS(O380-P380),0.5)&lt;=0.5,
IF(O380&gt;P380, B380 &amp; " ML", H380 &amp; " ML"),
IF(MROUND(ABS(O380-P380),0.5)=1,
IF(O380&gt;P380, H380 &amp; " +1.5", B380 &amp; " +1.5"),
IF(O380&gt;P380, B380 &amp; " -1.5", H380 &amp; " -1.5")
)
)
)</f>
        <v/>
      </c>
      <c r="AG380" s="15">
        <f>_xlfn.LET(
_xlpm.winA, O380^1.83 / (O380^1.83 + P380^1.83),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81">
      <c r="A381" s="81" t="n">
        <v>46125</v>
      </c>
      <c r="B381" t="inlineStr">
        <is>
          <t>ASTROS</t>
        </is>
      </c>
      <c r="C381">
        <f>VLOOKUP(B381, 'MLB Data'!$B$5:$D$34, 3, FALSE)</f>
        <v/>
      </c>
      <c r="D381" t="inlineStr">
        <is>
          <t>MIKE BURROWS</t>
        </is>
      </c>
      <c r="E381" t="n">
        <v>3.87</v>
      </c>
      <c r="F381" s="17">
        <f>VLOOKUP(B381, 'MLB Data'!$F$2:$H$34, 3, FALSE)</f>
        <v/>
      </c>
      <c r="G381" s="17">
        <f>IF((E381*0.6+F381*0.4)&lt;2.5, 2.8, IF((E381*0.6+F381*0.4)&gt;5.5, 5.2, (E381*0.6+F381*0.4)))</f>
        <v/>
      </c>
      <c r="H381" t="inlineStr">
        <is>
          <t>MARINERS</t>
        </is>
      </c>
      <c r="I381">
        <f>VLOOKUP(H381, 'MLB Data'!$B$5:$D$34, 3, FALSE)</f>
        <v/>
      </c>
      <c r="J381" t="inlineStr">
        <is>
          <t>GEORGE KIRBY</t>
        </is>
      </c>
      <c r="K381" t="n">
        <v>3.3</v>
      </c>
      <c r="L381" s="17">
        <f>VLOOKUP(H381, 'MLB Data'!$F$2:$H$34, 3, FALSE)</f>
        <v/>
      </c>
      <c r="M381" s="17">
        <f>IF((K381*0.6+L381*0.4)&lt;2.5, 2.8, IF((K381*0.6+L381*0.4)&gt;5.5, 5.2, (K381*0.6+L381*0.4)))</f>
        <v/>
      </c>
      <c r="O381" s="18">
        <f>(C381/100) * 4.1 * (M381 / 4.2) * T381</f>
        <v/>
      </c>
      <c r="P381" s="18">
        <f>(I381/100) * 4.05 * (G381 / 4.2) * T381</f>
        <v/>
      </c>
      <c r="Q381" s="18">
        <f>(O381+P381)</f>
        <v/>
      </c>
      <c r="S381" s="15">
        <f>H381</f>
        <v/>
      </c>
      <c r="T381" s="19">
        <f>IF(S381="ROCKIES",1.13,IF(S381="ATHLETICS",1.03,IF(S381="ROYALS",1.03,IF(S381="TWINS",1,IF(S381="TIGERS",1,IF(S381="MARLINS",1.01,IF(S381="REDS",1.05,IF(S381="RED SOX",1.04,IF(S381="YANKEES",1.02,IF(S381="DODGERS",0.99,IF(S381="PADRES",0.96,IF(S381="CUBS",0.98,IF(S381="GIANTS",0.97,IF(S381="MARINERS",0.94,IF(S381="RANGERS",1,IF(S381="ASTROS",0.99,IF(S381="BRAVES",1,IF(S381="METS",0.96,IF(S381="PHILLIES",1.02,IF(S381="BLUE JAYS",1.01,IF(S381="ORIOLES",0.99,IF(S381="RAYS",1.01,IF(S381="GUARDIANS",0.99,IF(S381="WHITE SOX",0.98,IF(S381="ANGELS",1.01,IF(S381="D-BACKS",1.01,IF(S381="BREWERS",0.99,IF(S381="CARDINALS",0.96,IF(S381="PIRATES",1.02,IF(S381="NATIONALS",1,1))))))))))))))))))))))))))))))*IF(W381="",1,(1+((W381-70)/10*0.035)))*IF(U381="DOME",1,IF(U381="IN",1-(V381*0.01),IF(U381="OUT",1+(V381*0.01),IF(OR(U381="L-R",U381="R-L"),1+(V381*0.005),1))))</f>
        <v/>
      </c>
      <c r="U381" t="inlineStr">
        <is>
          <t>OUT</t>
        </is>
      </c>
      <c r="V381" t="n">
        <v>7</v>
      </c>
      <c r="W381" t="n">
        <v>51</v>
      </c>
      <c r="Y381">
        <f>B381 &amp; " vs. " &amp; H381</f>
        <v/>
      </c>
      <c r="Z381">
        <f>TRIM(LEFT(Y381, FIND("vs.", Y381)-1))</f>
        <v/>
      </c>
      <c r="AA381">
        <f>TRIM(MID(Y381, FIND(" vs. ", Y381)+4, 100))</f>
        <v/>
      </c>
      <c r="AB381" s="35">
        <f>IF(Q381 &gt; VALUE(AC381), "O " &amp; AC381, IF(Q381 &lt; VALUE(AC381), "U " &amp; AC381, AC381))</f>
        <v/>
      </c>
      <c r="AC381" s="15">
        <f>IF(OR(O381="-", P381="-"), "-", MROUND(O381 + P381, 0.5))</f>
        <v/>
      </c>
      <c r="AD381" s="15">
        <f>VALUE(TRIM(RIGHT(AF381, LEN(AF381) - FIND(" ", AF381))))</f>
        <v/>
      </c>
      <c r="AE381" s="15">
        <f>LEFT(AF381,FIND(" ",AF381)-1)</f>
        <v/>
      </c>
      <c r="AF381" s="15">
        <f>IF(OR(O381="-", P381="-"), "-",
IF(MROUND(ABS(O381-P381),0.5)&lt;=0.5,
IF(O381&gt;P381, B381 &amp; " ML", H381 &amp; " ML"),
IF(MROUND(ABS(O381-P381),0.5)=1,
IF(O381&gt;P381, H381 &amp; " +1.5", B381 &amp; " +1.5"),
IF(O381&gt;P381, B381 &amp; " -1.5", H381 &amp; " -1.5")
)
)
)</f>
        <v/>
      </c>
      <c r="AG381" s="15">
        <f>_xlfn.LET(
_xlpm.winA, O381^1.83 / (O381^1.83 + P381^1.83),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82">
      <c r="A382" s="81" t="n">
        <v>46125</v>
      </c>
      <c r="B382" t="inlineStr">
        <is>
          <t>D-BACKS</t>
        </is>
      </c>
      <c r="C382">
        <f>VLOOKUP(B382, 'MLB Data'!$B$5:$D$34, 3, FALSE)</f>
        <v/>
      </c>
      <c r="D382" t="inlineStr">
        <is>
          <t>RYNE NELSON</t>
        </is>
      </c>
      <c r="E382" t="n">
        <v>4.36</v>
      </c>
      <c r="F382" s="17">
        <f>VLOOKUP(B382, 'MLB Data'!$F$2:$H$34, 3, FALSE)</f>
        <v/>
      </c>
      <c r="G382" s="17">
        <f>IF((E382*0.6+F382*0.4)&lt;2.5, 2.8, IF((E382*0.6+F382*0.4)&gt;5.5, 5.2, (E382*0.6+F382*0.4)))</f>
        <v/>
      </c>
      <c r="H382" t="inlineStr">
        <is>
          <t>ORIOLES</t>
        </is>
      </c>
      <c r="I382">
        <f>VLOOKUP(H382, 'MLB Data'!$B$5:$D$34, 3, FALSE)</f>
        <v/>
      </c>
      <c r="J382" t="inlineStr">
        <is>
          <t>TBD</t>
        </is>
      </c>
      <c r="L382" s="17">
        <f>VLOOKUP(H382, 'MLB Data'!$F$2:$H$34, 3, FALSE)</f>
        <v/>
      </c>
      <c r="M382" s="17">
        <f>IF((K382*0.6+L382*0.4)&lt;2.5, 2.8, IF((K382*0.6+L382*0.4)&gt;5.5, 5.2, (K382*0.6+L382*0.4)))</f>
        <v/>
      </c>
      <c r="O382" s="18">
        <f>(C382/100) * 4.1 * (M382 / 4.2) * T382</f>
        <v/>
      </c>
      <c r="P382" s="18">
        <f>(I382/100) * 4.05 * (G382 / 4.2) * T382</f>
        <v/>
      </c>
      <c r="Q382" s="18">
        <f>(O382+P382)</f>
        <v/>
      </c>
      <c r="S382" s="15">
        <f>H382</f>
        <v/>
      </c>
      <c r="T382" s="19">
        <f>IF(S382="ROCKIES",1.13,IF(S382="ATHLETICS",1.03,IF(S382="ROYALS",1.03,IF(S382="TWINS",1,IF(S382="TIGERS",1,IF(S382="MARLINS",1.01,IF(S382="REDS",1.05,IF(S382="RED SOX",1.04,IF(S382="YANKEES",1.02,IF(S382="DODGERS",0.99,IF(S382="PADRES",0.96,IF(S382="CUBS",0.98,IF(S382="GIANTS",0.97,IF(S382="MARINERS",0.94,IF(S382="RANGERS",1,IF(S382="ASTROS",0.99,IF(S382="BRAVES",1,IF(S382="METS",0.96,IF(S382="PHILLIES",1.02,IF(S382="BLUE JAYS",1.01,IF(S382="ORIOLES",0.99,IF(S382="RAYS",1.01,IF(S382="GUARDIANS",0.99,IF(S382="WHITE SOX",0.98,IF(S382="ANGELS",1.01,IF(S382="D-BACKS",1.01,IF(S382="BREWERS",0.99,IF(S382="CARDINALS",0.96,IF(S382="PIRATES",1.02,IF(S382="NATIONALS",1,1))))))))))))))))))))))))))))))*IF(W382="",1,(1+((W382-70)/10*0.035)))*IF(U382="DOME",1,IF(U382="IN",1-(V382*0.01),IF(U382="OUT",1+(V382*0.01),IF(OR(U382="L-R",U382="R-L"),1+(V382*0.005),1))))</f>
        <v/>
      </c>
      <c r="U382" t="inlineStr">
        <is>
          <t>CROSS</t>
        </is>
      </c>
      <c r="V382" t="n">
        <v>11</v>
      </c>
      <c r="W382" t="n">
        <v>77</v>
      </c>
      <c r="Y382">
        <f>B382 &amp; " vs. " &amp; H382</f>
        <v/>
      </c>
      <c r="Z382">
        <f>TRIM(LEFT(Y382, FIND("vs.", Y382)-1))</f>
        <v/>
      </c>
      <c r="AA382">
        <f>TRIM(MID(Y382, FIND(" vs. ", Y382)+4, 100))</f>
        <v/>
      </c>
      <c r="AB382" s="35">
        <f>IF(Q382 &gt; VALUE(AC382), "O " &amp; AC382, IF(Q382 &lt; VALUE(AC382), "U " &amp; AC382, AC382))</f>
        <v/>
      </c>
      <c r="AC382" s="15">
        <f>IF(OR(O382="-", P382="-"), "-", MROUND(O382 + P382, 0.5))</f>
        <v/>
      </c>
      <c r="AD382" s="15">
        <f>VALUE(TRIM(RIGHT(AF382, LEN(AF382) - FIND(" ", AF382))))</f>
        <v/>
      </c>
      <c r="AE382" s="15">
        <f>LEFT(AF382,FIND(" ",AF382)-1)</f>
        <v/>
      </c>
      <c r="AF382" s="15">
        <f>IF(OR(O382="-", P382="-"), "-",
IF(MROUND(ABS(O382-P382),0.5)&lt;=0.5,
IF(O382&gt;P382, B382 &amp; " ML", H382 &amp; " ML"),
IF(MROUND(ABS(O382-P382),0.5)=1,
IF(O382&gt;P382, H382 &amp; " +1.5", B382 &amp; " +1.5"),
IF(O382&gt;P382, B382 &amp; " -1.5", H382 &amp; " -1.5")
)
)
)</f>
        <v/>
      </c>
      <c r="AG382" s="15">
        <f>_xlfn.LET(
_xlpm.winA, O382^1.83 / (O382^1.83 + P382^1.83),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83">
      <c r="A383" s="81" t="n">
        <v>46125</v>
      </c>
      <c r="B383" t="inlineStr">
        <is>
          <t>NATIONALS</t>
        </is>
      </c>
      <c r="C383">
        <f>VLOOKUP(B383, 'MLB Data'!$B$5:$D$34, 3, FALSE)</f>
        <v/>
      </c>
      <c r="D383" t="inlineStr">
        <is>
          <t>CADE CAVALLI</t>
        </is>
      </c>
      <c r="E383" t="n">
        <v>4.16</v>
      </c>
      <c r="F383" s="17">
        <f>VLOOKUP(B383, 'MLB Data'!$F$2:$H$34, 3, FALSE)</f>
        <v/>
      </c>
      <c r="G383" s="17">
        <f>IF((E383*0.6+F383*0.4)&lt;2.5, 2.8, IF((E383*0.6+F383*0.4)&gt;5.5, 5.2, (E383*0.6+F383*0.4)))</f>
        <v/>
      </c>
      <c r="H383" t="inlineStr">
        <is>
          <t>PIRATES</t>
        </is>
      </c>
      <c r="I383">
        <f>VLOOKUP(H383, 'MLB Data'!$B$5:$D$34, 3, FALSE)</f>
        <v/>
      </c>
      <c r="J383" t="inlineStr">
        <is>
          <t>PAUL SKENES</t>
        </is>
      </c>
      <c r="K383" t="n">
        <v>3.38</v>
      </c>
      <c r="L383" s="17">
        <f>VLOOKUP(H383, 'MLB Data'!$F$2:$H$34, 3, FALSE)</f>
        <v/>
      </c>
      <c r="M383" s="17">
        <f>IF((K383*0.6+L383*0.4)&lt;2.5, 2.8, IF((K383*0.6+L383*0.4)&gt;5.5, 5.2, (K383*0.6+L383*0.4)))</f>
        <v/>
      </c>
      <c r="O383" s="18">
        <f>(C383/100) * 4.1 * (M383 / 4.2) * T383</f>
        <v/>
      </c>
      <c r="P383" s="18">
        <f>(I383/100) * 4.05 * (G383 / 4.2) * T383</f>
        <v/>
      </c>
      <c r="Q383" s="18">
        <f>(O383+P383)</f>
        <v/>
      </c>
      <c r="S383" s="15">
        <f>H383</f>
        <v/>
      </c>
      <c r="T383" s="19">
        <f>IF(S383="ROCKIES",1.13,IF(S383="ATHLETICS",1.03,IF(S383="ROYALS",1.03,IF(S383="TWINS",1,IF(S383="TIGERS",1,IF(S383="MARLINS",1.01,IF(S383="REDS",1.05,IF(S383="RED SOX",1.04,IF(S383="YANKEES",1.02,IF(S383="DODGERS",0.99,IF(S383="PADRES",0.96,IF(S383="CUBS",0.98,IF(S383="GIANTS",0.97,IF(S383="MARINERS",0.94,IF(S383="RANGERS",1,IF(S383="ASTROS",0.99,IF(S383="BRAVES",1,IF(S383="METS",0.96,IF(S383="PHILLIES",1.02,IF(S383="BLUE JAYS",1.01,IF(S383="ORIOLES",0.99,IF(S383="RAYS",1.01,IF(S383="GUARDIANS",0.99,IF(S383="WHITE SOX",0.98,IF(S383="ANGELS",1.01,IF(S383="D-BACKS",1.01,IF(S383="BREWERS",0.99,IF(S383="CARDINALS",0.96,IF(S383="PIRATES",1.02,IF(S383="NATIONALS",1,1))))))))))))))))))))))))))))))*IF(W383="",1,(1+((W383-70)/10*0.035)))*IF(U383="DOME",1,IF(U383="IN",1-(V383*0.01),IF(U383="OUT",1+(V383*0.01),IF(OR(U383="L-R",U383="R-L"),1+(V383*0.005),1))))</f>
        <v/>
      </c>
      <c r="U383" t="inlineStr">
        <is>
          <t>CROSS</t>
        </is>
      </c>
      <c r="V383" t="n">
        <v>9</v>
      </c>
      <c r="W383" t="n">
        <v>72</v>
      </c>
      <c r="Y383">
        <f>B383 &amp; " vs. " &amp; H383</f>
        <v/>
      </c>
      <c r="Z383">
        <f>TRIM(LEFT(Y383, FIND("vs.", Y383)-1))</f>
        <v/>
      </c>
      <c r="AA383">
        <f>TRIM(MID(Y383, FIND(" vs. ", Y383)+4, 100))</f>
        <v/>
      </c>
      <c r="AB383" s="35">
        <f>IF(Q383 &gt; VALUE(AC383), "O " &amp; AC383, IF(Q383 &lt; VALUE(AC383), "U " &amp; AC383, AC383))</f>
        <v/>
      </c>
      <c r="AC383" s="15">
        <f>IF(OR(O383="-", P383="-"), "-", MROUND(O383 + P383, 0.5))</f>
        <v/>
      </c>
      <c r="AD383" s="15">
        <f>VALUE(TRIM(RIGHT(AF383, LEN(AF383) - FIND(" ", AF383))))</f>
        <v/>
      </c>
      <c r="AE383" s="15">
        <f>LEFT(AF383,FIND(" ",AF383)-1)</f>
        <v/>
      </c>
      <c r="AF383" s="15">
        <f>IF(OR(O383="-", P383="-"), "-",
IF(MROUND(ABS(O383-P383),0.5)&lt;=0.5,
IF(O383&gt;P383, B383 &amp; " ML", H383 &amp; " ML"),
IF(MROUND(ABS(O383-P383),0.5)=1,
IF(O383&gt;P383, H383 &amp; " +1.5", B383 &amp; " +1.5"),
IF(O383&gt;P383, B383 &amp; " -1.5", H383 &amp; " -1.5")
)
)
)</f>
        <v/>
      </c>
      <c r="AG383" s="15">
        <f>_xlfn.LET(
_xlpm.winA, O383^1.83 / (O383^1.83 + P383^1.83),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84">
      <c r="A384" s="81" t="n">
        <v>46125</v>
      </c>
      <c r="B384" t="inlineStr">
        <is>
          <t>CUBS</t>
        </is>
      </c>
      <c r="C384">
        <f>VLOOKUP(B384, 'MLB Data'!$B$5:$D$34, 3, FALSE)</f>
        <v/>
      </c>
      <c r="D384" t="inlineStr">
        <is>
          <t>JAVIER ASSAD</t>
        </is>
      </c>
      <c r="E384" t="n">
        <v>4.53</v>
      </c>
      <c r="F384" s="17">
        <f>VLOOKUP(B384, 'MLB Data'!$F$2:$H$34, 3, FALSE)</f>
        <v/>
      </c>
      <c r="G384" s="17">
        <f>IF((E384*0.6+F384*0.4)&lt;2.5, 2.8, IF((E384*0.6+F384*0.4)&gt;5.5, 5.2, (E384*0.6+F384*0.4)))</f>
        <v/>
      </c>
      <c r="H384" t="inlineStr">
        <is>
          <t>PHILLIES</t>
        </is>
      </c>
      <c r="I384">
        <f>VLOOKUP(H384, 'MLB Data'!$B$5:$D$34, 3, FALSE)</f>
        <v/>
      </c>
      <c r="J384" t="inlineStr">
        <is>
          <t>CRISTOPHER SÁNCHEZ</t>
        </is>
      </c>
      <c r="L384" s="17">
        <f>VLOOKUP(H384, 'MLB Data'!$F$2:$H$34, 3, FALSE)</f>
        <v/>
      </c>
      <c r="M384" s="17">
        <f>IF((K384*0.6+L384*0.4)&lt;2.5, 2.8, IF((K384*0.6+L384*0.4)&gt;5.5, 5.2, (K384*0.6+L384*0.4)))</f>
        <v/>
      </c>
      <c r="O384" s="18">
        <f>(C384/100) * 4.1 * (M384 / 4.2) * T384</f>
        <v/>
      </c>
      <c r="P384" s="18">
        <f>(I384/100) * 4.05 * (G384 / 4.2) * T384</f>
        <v/>
      </c>
      <c r="Q384" s="18">
        <f>(O384+P384)</f>
        <v/>
      </c>
      <c r="S384" s="15">
        <f>H384</f>
        <v/>
      </c>
      <c r="T384" s="19">
        <f>IF(S384="ROCKIES",1.13,IF(S384="ATHLETICS",1.03,IF(S384="ROYALS",1.03,IF(S384="TWINS",1,IF(S384="TIGERS",1,IF(S384="MARLINS",1.01,IF(S384="REDS",1.05,IF(S384="RED SOX",1.04,IF(S384="YANKEES",1.02,IF(S384="DODGERS",0.99,IF(S384="PADRES",0.96,IF(S384="CUBS",0.98,IF(S384="GIANTS",0.97,IF(S384="MARINERS",0.94,IF(S384="RANGERS",1,IF(S384="ASTROS",0.99,IF(S384="BRAVES",1,IF(S384="METS",0.96,IF(S384="PHILLIES",1.02,IF(S384="BLUE JAYS",1.01,IF(S384="ORIOLES",0.99,IF(S384="RAYS",1.01,IF(S384="GUARDIANS",0.99,IF(S384="WHITE SOX",0.98,IF(S384="ANGELS",1.01,IF(S384="D-BACKS",1.01,IF(S384="BREWERS",0.99,IF(S384="CARDINALS",0.96,IF(S384="PIRATES",1.02,IF(S384="NATIONALS",1,1))))))))))))))))))))))))))))))*IF(W384="",1,(1+((W384-70)/10*0.035)))*IF(U384="DOME",1,IF(U384="IN",1-(V384*0.01),IF(U384="OUT",1+(V384*0.01),IF(OR(U384="L-R",U384="R-L"),1+(V384*0.005),1))))</f>
        <v/>
      </c>
      <c r="U384" t="inlineStr">
        <is>
          <t>CROSS</t>
        </is>
      </c>
      <c r="V384" t="n">
        <v>13</v>
      </c>
      <c r="W384" t="n">
        <v>75</v>
      </c>
      <c r="Y384">
        <f>B384 &amp; " vs. " &amp; H384</f>
        <v/>
      </c>
      <c r="Z384">
        <f>TRIM(LEFT(Y384, FIND("vs.", Y384)-1))</f>
        <v/>
      </c>
      <c r="AA384">
        <f>TRIM(MID(Y384, FIND(" vs. ", Y384)+4, 100))</f>
        <v/>
      </c>
      <c r="AB384" s="35">
        <f>IF(Q384 &gt; VALUE(AC384), "O " &amp; AC384, IF(Q384 &lt; VALUE(AC384), "U " &amp; AC384, AC384))</f>
        <v/>
      </c>
      <c r="AC384" s="15">
        <f>IF(OR(O384="-", P384="-"), "-", MROUND(O384 + P384, 0.5))</f>
        <v/>
      </c>
      <c r="AD384" s="15">
        <f>VALUE(TRIM(RIGHT(AF384, LEN(AF384) - FIND(" ", AF384))))</f>
        <v/>
      </c>
      <c r="AE384" s="15">
        <f>LEFT(AF384,FIND(" ",AF384)-1)</f>
        <v/>
      </c>
      <c r="AF384" s="15">
        <f>IF(OR(O384="-", P384="-"), "-",
IF(MROUND(ABS(O384-P384),0.5)&lt;=0.5,
IF(O384&gt;P384, B384 &amp; " ML", H384 &amp; " ML"),
IF(MROUND(ABS(O384-P384),0.5)=1,
IF(O384&gt;P384, H384 &amp; " +1.5", B384 &amp; " +1.5"),
IF(O384&gt;P384, B384 &amp; " -1.5", H384 &amp; " -1.5")
)
)
)</f>
        <v/>
      </c>
      <c r="AG384" s="15">
        <f>_xlfn.LET(
_xlpm.winA, O384^1.83 / (O384^1.83 + P384^1.83),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85">
      <c r="A385" s="81" t="n">
        <v>46125</v>
      </c>
      <c r="B385" t="inlineStr">
        <is>
          <t>ANGELS</t>
        </is>
      </c>
      <c r="C385">
        <f>VLOOKUP(B385, 'MLB Data'!$B$5:$D$34, 3, FALSE)</f>
        <v/>
      </c>
      <c r="D385" t="inlineStr">
        <is>
          <t>YUSEI KIKUCHI</t>
        </is>
      </c>
      <c r="E385" t="n">
        <v>4.13</v>
      </c>
      <c r="F385" s="17">
        <f>VLOOKUP(B385, 'MLB Data'!$F$2:$H$34, 3, FALSE)</f>
        <v/>
      </c>
      <c r="G385" s="17">
        <f>IF((E385*0.6+F385*0.4)&lt;2.5, 2.8, IF((E385*0.6+F385*0.4)&gt;5.5, 5.2, (E385*0.6+F385*0.4)))</f>
        <v/>
      </c>
      <c r="H385" t="inlineStr">
        <is>
          <t>YANKEES</t>
        </is>
      </c>
      <c r="I385">
        <f>VLOOKUP(H385, 'MLB Data'!$B$5:$D$34, 3, FALSE)</f>
        <v/>
      </c>
      <c r="J385" t="inlineStr">
        <is>
          <t>WILL WARREN</t>
        </is>
      </c>
      <c r="K385" t="n">
        <v>3.83</v>
      </c>
      <c r="L385" s="17">
        <f>VLOOKUP(H385, 'MLB Data'!$F$2:$H$34, 3, FALSE)</f>
        <v/>
      </c>
      <c r="M385" s="17">
        <f>IF((K385*0.6+L385*0.4)&lt;2.5, 2.8, IF((K385*0.6+L385*0.4)&gt;5.5, 5.2, (K385*0.6+L385*0.4)))</f>
        <v/>
      </c>
      <c r="O385" s="18">
        <f>(C385/100) * 4.1 * (M385 / 4.2) * T385</f>
        <v/>
      </c>
      <c r="P385" s="18">
        <f>(I385/100) * 4.05 * (G385 / 4.2) * T385</f>
        <v/>
      </c>
      <c r="Q385" s="18">
        <f>(O385+P385)</f>
        <v/>
      </c>
      <c r="S385" s="15">
        <f>H385</f>
        <v/>
      </c>
      <c r="T385" s="19">
        <f>IF(S385="ROCKIES",1.13,IF(S385="ATHLETICS",1.03,IF(S385="ROYALS",1.03,IF(S385="TWINS",1,IF(S385="TIGERS",1,IF(S385="MARLINS",1.01,IF(S385="REDS",1.05,IF(S385="RED SOX",1.04,IF(S385="YANKEES",1.02,IF(S385="DODGERS",0.99,IF(S385="PADRES",0.96,IF(S385="CUBS",0.98,IF(S385="GIANTS",0.97,IF(S385="MARINERS",0.94,IF(S385="RANGERS",1,IF(S385="ASTROS",0.99,IF(S385="BRAVES",1,IF(S385="METS",0.96,IF(S385="PHILLIES",1.02,IF(S385="BLUE JAYS",1.01,IF(S385="ORIOLES",0.99,IF(S385="RAYS",1.01,IF(S385="GUARDIANS",0.99,IF(S385="WHITE SOX",0.98,IF(S385="ANGELS",1.01,IF(S385="D-BACKS",1.01,IF(S385="BREWERS",0.99,IF(S385="CARDINALS",0.96,IF(S385="PIRATES",1.02,IF(S385="NATIONALS",1,1))))))))))))))))))))))))))))))*IF(W385="",1,(1+((W385-70)/10*0.035)))*IF(U385="DOME",1,IF(U385="IN",1-(V385*0.01),IF(U385="OUT",1+(V385*0.01),IF(OR(U385="L-R",U385="R-L"),1+(V385*0.005),1))))</f>
        <v/>
      </c>
      <c r="U385" t="inlineStr">
        <is>
          <t>CROSS</t>
        </is>
      </c>
      <c r="V385" t="n">
        <v>14</v>
      </c>
      <c r="W385" t="n">
        <v>73</v>
      </c>
      <c r="Y385">
        <f>B385 &amp; " vs. " &amp; H385</f>
        <v/>
      </c>
      <c r="Z385">
        <f>TRIM(LEFT(Y385, FIND("vs.", Y385)-1))</f>
        <v/>
      </c>
      <c r="AA385">
        <f>TRIM(MID(Y385, FIND(" vs. ", Y385)+4, 100))</f>
        <v/>
      </c>
      <c r="AB385" s="35">
        <f>IF(Q385 &gt; VALUE(AC385), "O " &amp; AC385, IF(Q385 &lt; VALUE(AC385), "U " &amp; AC385, AC385))</f>
        <v/>
      </c>
      <c r="AC385" s="15">
        <f>IF(OR(O385="-", P385="-"), "-", MROUND(O385 + P385, 0.5))</f>
        <v/>
      </c>
      <c r="AD385" s="15">
        <f>VALUE(TRIM(RIGHT(AF385, LEN(AF385) - FIND(" ", AF385))))</f>
        <v/>
      </c>
      <c r="AE385" s="15">
        <f>LEFT(AF385,FIND(" ",AF385)-1)</f>
        <v/>
      </c>
      <c r="AF385" s="15">
        <f>IF(OR(O385="-", P385="-"), "-",
IF(MROUND(ABS(O385-P385),0.5)&lt;=0.5,
IF(O385&gt;P385, B385 &amp; " ML", H385 &amp; " ML"),
IF(MROUND(ABS(O385-P385),0.5)=1,
IF(O385&gt;P385, H385 &amp; " +1.5", B385 &amp; " +1.5"),
IF(O385&gt;P385, B385 &amp; " -1.5", H385 &amp; " -1.5")
)
)
)</f>
        <v/>
      </c>
      <c r="AG385" s="15">
        <f>_xlfn.LET(
_xlpm.winA, O385^1.83 / (O385^1.83 + P385^1.83),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86">
      <c r="A386" s="81" t="n">
        <v>46125</v>
      </c>
      <c r="B386" t="inlineStr">
        <is>
          <t>MARLINS</t>
        </is>
      </c>
      <c r="C386">
        <f>VLOOKUP(B386, 'MLB Data'!$B$5:$D$34, 3, FALSE)</f>
        <v/>
      </c>
      <c r="D386" t="inlineStr">
        <is>
          <t>EURY PÉREZ</t>
        </is>
      </c>
      <c r="F386" s="17">
        <f>VLOOKUP(B386, 'MLB Data'!$F$2:$H$34, 3, FALSE)</f>
        <v/>
      </c>
      <c r="G386" s="17">
        <f>IF((E386*0.6+F386*0.4)&lt;2.5, 2.8, IF((E386*0.6+F386*0.4)&gt;5.5, 5.2, (E386*0.6+F386*0.4)))</f>
        <v/>
      </c>
      <c r="H386" t="inlineStr">
        <is>
          <t>BRAVES</t>
        </is>
      </c>
      <c r="I386">
        <f>VLOOKUP(H386, 'MLB Data'!$B$5:$D$34, 3, FALSE)</f>
        <v/>
      </c>
      <c r="J386" t="inlineStr">
        <is>
          <t>GRANT HOLMES</t>
        </is>
      </c>
      <c r="K386" t="n">
        <v>4.19</v>
      </c>
      <c r="L386" s="17">
        <f>VLOOKUP(H386, 'MLB Data'!$F$2:$H$34, 3, FALSE)</f>
        <v/>
      </c>
      <c r="M386" s="17">
        <f>IF((K386*0.6+L386*0.4)&lt;2.5, 2.8, IF((K386*0.6+L386*0.4)&gt;5.5, 5.2, (K386*0.6+L386*0.4)))</f>
        <v/>
      </c>
      <c r="O386" s="18">
        <f>(C386/100) * 4.1 * (M386 / 4.2) * T386</f>
        <v/>
      </c>
      <c r="P386" s="18">
        <f>(I386/100) * 4.05 * (G386 / 4.2) * T386</f>
        <v/>
      </c>
      <c r="Q386" s="18">
        <f>(O386+P386)</f>
        <v/>
      </c>
      <c r="S386" s="15">
        <f>H386</f>
        <v/>
      </c>
      <c r="T386" s="19">
        <f>IF(S386="ROCKIES",1.13,IF(S386="ATHLETICS",1.03,IF(S386="ROYALS",1.03,IF(S386="TWINS",1,IF(S386="TIGERS",1,IF(S386="MARLINS",1.01,IF(S386="REDS",1.05,IF(S386="RED SOX",1.04,IF(S386="YANKEES",1.02,IF(S386="DODGERS",0.99,IF(S386="PADRES",0.96,IF(S386="CUBS",0.98,IF(S386="GIANTS",0.97,IF(S386="MARINERS",0.94,IF(S386="RANGERS",1,IF(S386="ASTROS",0.99,IF(S386="BRAVES",1,IF(S386="METS",0.96,IF(S386="PHILLIES",1.02,IF(S386="BLUE JAYS",1.01,IF(S386="ORIOLES",0.99,IF(S386="RAYS",1.01,IF(S386="GUARDIANS",0.99,IF(S386="WHITE SOX",0.98,IF(S386="ANGELS",1.01,IF(S386="D-BACKS",1.01,IF(S386="BREWERS",0.99,IF(S386="CARDINALS",0.96,IF(S386="PIRATES",1.02,IF(S386="NATIONALS",1,1))))))))))))))))))))))))))))))*IF(W386="",1,(1+((W386-70)/10*0.035)))*IF(U386="DOME",1,IF(U386="IN",1-(V386*0.01),IF(U386="OUT",1+(V386*0.01),IF(OR(U386="L-R",U386="R-L"),1+(V386*0.005),1))))</f>
        <v/>
      </c>
      <c r="U386" t="inlineStr">
        <is>
          <t>OUT</t>
        </is>
      </c>
      <c r="V386" t="n">
        <v>8</v>
      </c>
      <c r="W386" t="n">
        <v>81</v>
      </c>
      <c r="Y386">
        <f>B386 &amp; " vs. " &amp; H386</f>
        <v/>
      </c>
      <c r="Z386">
        <f>TRIM(LEFT(Y386, FIND("vs.", Y386)-1))</f>
        <v/>
      </c>
      <c r="AA386">
        <f>TRIM(MID(Y386, FIND(" vs. ", Y386)+4, 100))</f>
        <v/>
      </c>
      <c r="AB386" s="35">
        <f>IF(Q386 &gt; VALUE(AC386), "O " &amp; AC386, IF(Q386 &lt; VALUE(AC386), "U " &amp; AC386, AC386))</f>
        <v/>
      </c>
      <c r="AC386" s="15">
        <f>IF(OR(O386="-", P386="-"), "-", MROUND(O386 + P386, 0.5))</f>
        <v/>
      </c>
      <c r="AD386" s="15">
        <f>VALUE(TRIM(RIGHT(AF386, LEN(AF386) - FIND(" ", AF386))))</f>
        <v/>
      </c>
      <c r="AE386" s="15">
        <f>LEFT(AF386,FIND(" ",AF386)-1)</f>
        <v/>
      </c>
      <c r="AF386" s="15">
        <f>IF(OR(O386="-", P386="-"), "-",
IF(MROUND(ABS(O386-P386),0.5)&lt;=0.5,
IF(O386&gt;P386, B386 &amp; " ML", H386 &amp; " ML"),
IF(MROUND(ABS(O386-P386),0.5)=1,
IF(O386&gt;P386, H386 &amp; " +1.5", B386 &amp; " +1.5"),
IF(O386&gt;P386, B386 &amp; " -1.5", H386 &amp; " -1.5")
)
)
)</f>
        <v/>
      </c>
      <c r="AG386" s="15">
        <f>_xlfn.LET(
_xlpm.winA, O386^1.83 / (O386^1.83 + P386^1.83),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87">
      <c r="A387" s="81" t="n">
        <v>46125</v>
      </c>
      <c r="B387" t="inlineStr">
        <is>
          <t>RED SOX</t>
        </is>
      </c>
      <c r="C387">
        <f>VLOOKUP(B387, 'MLB Data'!$B$5:$D$34, 3, FALSE)</f>
        <v/>
      </c>
      <c r="D387" t="inlineStr">
        <is>
          <t>GARRETT CROCHET</t>
        </is>
      </c>
      <c r="E387" t="n">
        <v>2.64</v>
      </c>
      <c r="F387" s="17">
        <f>VLOOKUP(B387, 'MLB Data'!$F$2:$H$34, 3, FALSE)</f>
        <v/>
      </c>
      <c r="G387" s="17">
        <f>IF((E387*0.6+F387*0.4)&lt;2.5, 2.8, IF((E387*0.6+F387*0.4)&gt;5.5, 5.2, (E387*0.6+F387*0.4)))</f>
        <v/>
      </c>
      <c r="H387" t="inlineStr">
        <is>
          <t>TWINS</t>
        </is>
      </c>
      <c r="I387">
        <f>VLOOKUP(H387, 'MLB Data'!$B$5:$D$34, 3, FALSE)</f>
        <v/>
      </c>
      <c r="J387" t="inlineStr">
        <is>
          <t>BAILEY OBER</t>
        </is>
      </c>
      <c r="K387" t="n">
        <v>4.82</v>
      </c>
      <c r="L387" s="17">
        <f>VLOOKUP(H387, 'MLB Data'!$F$2:$H$34, 3, FALSE)</f>
        <v/>
      </c>
      <c r="M387" s="17">
        <f>IF((K387*0.6+L387*0.4)&lt;2.5, 2.8, IF((K387*0.6+L387*0.4)&gt;5.5, 5.2, (K387*0.6+L387*0.4)))</f>
        <v/>
      </c>
      <c r="O387" s="18">
        <f>(C387/100) * 4.1 * (M387 / 4.2) * T387</f>
        <v/>
      </c>
      <c r="P387" s="18">
        <f>(I387/100) * 4.05 * (G387 / 4.2) * T387</f>
        <v/>
      </c>
      <c r="Q387" s="18">
        <f>(O387+P387)</f>
        <v/>
      </c>
      <c r="S387" s="15">
        <f>H387</f>
        <v/>
      </c>
      <c r="T387" s="19">
        <f>IF(S387="ROCKIES",1.13,IF(S387="ATHLETICS",1.03,IF(S387="ROYALS",1.03,IF(S387="TWINS",1,IF(S387="TIGERS",1,IF(S387="MARLINS",1.01,IF(S387="REDS",1.05,IF(S387="RED SOX",1.04,IF(S387="YANKEES",1.02,IF(S387="DODGERS",0.99,IF(S387="PADRES",0.96,IF(S387="CUBS",0.98,IF(S387="GIANTS",0.97,IF(S387="MARINERS",0.94,IF(S387="RANGERS",1,IF(S387="ASTROS",0.99,IF(S387="BRAVES",1,IF(S387="METS",0.96,IF(S387="PHILLIES",1.02,IF(S387="BLUE JAYS",1.01,IF(S387="ORIOLES",0.99,IF(S387="RAYS",1.01,IF(S387="GUARDIANS",0.99,IF(S387="WHITE SOX",0.98,IF(S387="ANGELS",1.01,IF(S387="D-BACKS",1.01,IF(S387="BREWERS",0.99,IF(S387="CARDINALS",0.96,IF(S387="PIRATES",1.02,IF(S387="NATIONALS",1,1))))))))))))))))))))))))))))))*IF(W387="",1,(1+((W387-70)/10*0.035)))*IF(U387="DOME",1,IF(U387="IN",1-(V387*0.01),IF(U387="OUT",1+(V387*0.01),IF(OR(U387="L-R",U387="R-L"),1+(V387*0.005),1))))</f>
        <v/>
      </c>
      <c r="U387" t="inlineStr">
        <is>
          <t>IN</t>
        </is>
      </c>
      <c r="V387" t="n">
        <v>8</v>
      </c>
      <c r="W387" t="n">
        <v>65</v>
      </c>
      <c r="Y387">
        <f>B387 &amp; " vs. " &amp; H387</f>
        <v/>
      </c>
      <c r="Z387">
        <f>TRIM(LEFT(Y387, FIND("vs.", Y387)-1))</f>
        <v/>
      </c>
      <c r="AA387">
        <f>TRIM(MID(Y387, FIND(" vs. ", Y387)+4, 100))</f>
        <v/>
      </c>
      <c r="AB387" s="35">
        <f>IF(Q387 &gt; VALUE(AC387), "O " &amp; AC387, IF(Q387 &lt; VALUE(AC387), "U " &amp; AC387, AC387))</f>
        <v/>
      </c>
      <c r="AC387" s="15">
        <f>IF(OR(O387="-", P387="-"), "-", MROUND(O387 + P387, 0.5))</f>
        <v/>
      </c>
      <c r="AD387" s="15">
        <f>VALUE(TRIM(RIGHT(AF387, LEN(AF387) - FIND(" ", AF387))))</f>
        <v/>
      </c>
      <c r="AE387" s="15">
        <f>LEFT(AF387,FIND(" ",AF387)-1)</f>
        <v/>
      </c>
      <c r="AF387" s="15">
        <f>IF(OR(O387="-", P387="-"), "-",
IF(MROUND(ABS(O387-P387),0.5)&lt;=0.5,
IF(O387&gt;P387, B387 &amp; " ML", H387 &amp; " ML"),
IF(MROUND(ABS(O387-P387),0.5)=1,
IF(O387&gt;P387, H387 &amp; " +1.5", B387 &amp; " +1.5"),
IF(O387&gt;P387, B387 &amp; " -1.5", H387 &amp; " -1.5")
)
)
)</f>
        <v/>
      </c>
      <c r="AG387" s="15">
        <f>_xlfn.LET(
_xlpm.winA, O387^1.83 / (O387^1.83 + P387^1.83),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88">
      <c r="A388" s="81" t="n">
        <v>46125</v>
      </c>
      <c r="B388" t="inlineStr">
        <is>
          <t>GUARDIANS</t>
        </is>
      </c>
      <c r="C388">
        <f>VLOOKUP(B388, 'MLB Data'!$B$5:$D$34, 3, FALSE)</f>
        <v/>
      </c>
      <c r="D388" t="inlineStr">
        <is>
          <t>GAVIN WILLIAMS</t>
        </is>
      </c>
      <c r="E388" t="n">
        <v>3.96</v>
      </c>
      <c r="F388" s="17">
        <f>VLOOKUP(B388, 'MLB Data'!$F$2:$H$34, 3, FALSE)</f>
        <v/>
      </c>
      <c r="G388" s="17">
        <f>IF((E388*0.6+F388*0.4)&lt;2.5, 2.8, IF((E388*0.6+F388*0.4)&gt;5.5, 5.2, (E388*0.6+F388*0.4)))</f>
        <v/>
      </c>
      <c r="H388" t="inlineStr">
        <is>
          <t>CARDINALS</t>
        </is>
      </c>
      <c r="I388">
        <f>VLOOKUP(H388, 'MLB Data'!$B$5:$D$34, 3, FALSE)</f>
        <v/>
      </c>
      <c r="J388" t="inlineStr">
        <is>
          <t>MATTHEW LIBERATORE</t>
        </is>
      </c>
      <c r="K388" t="n">
        <v>4.39</v>
      </c>
      <c r="L388" s="17">
        <f>VLOOKUP(H388, 'MLB Data'!$F$2:$H$34, 3, FALSE)</f>
        <v/>
      </c>
      <c r="M388" s="17">
        <f>IF((K388*0.6+L388*0.4)&lt;2.5, 2.8, IF((K388*0.6+L388*0.4)&gt;5.5, 5.2, (K388*0.6+L388*0.4)))</f>
        <v/>
      </c>
      <c r="O388" s="18">
        <f>(C388/100) * 4.1 * (M388 / 4.2) * T388</f>
        <v/>
      </c>
      <c r="P388" s="18">
        <f>(I388/100) * 4.05 * (G388 / 4.2) * T388</f>
        <v/>
      </c>
      <c r="Q388" s="18">
        <f>(O388+P388)</f>
        <v/>
      </c>
      <c r="S388" s="15">
        <f>H388</f>
        <v/>
      </c>
      <c r="T388" s="19">
        <f>IF(S388="ROCKIES",1.13,IF(S388="ATHLETICS",1.03,IF(S388="ROYALS",1.03,IF(S388="TWINS",1,IF(S388="TIGERS",1,IF(S388="MARLINS",1.01,IF(S388="REDS",1.05,IF(S388="RED SOX",1.04,IF(S388="YANKEES",1.02,IF(S388="DODGERS",0.99,IF(S388="PADRES",0.96,IF(S388="CUBS",0.98,IF(S388="GIANTS",0.97,IF(S388="MARINERS",0.94,IF(S388="RANGERS",1,IF(S388="ASTROS",0.99,IF(S388="BRAVES",1,IF(S388="METS",0.96,IF(S388="PHILLIES",1.02,IF(S388="BLUE JAYS",1.01,IF(S388="ORIOLES",0.99,IF(S388="RAYS",1.01,IF(S388="GUARDIANS",0.99,IF(S388="WHITE SOX",0.98,IF(S388="ANGELS",1.01,IF(S388="D-BACKS",1.01,IF(S388="BREWERS",0.99,IF(S388="CARDINALS",0.96,IF(S388="PIRATES",1.02,IF(S388="NATIONALS",1,1))))))))))))))))))))))))))))))*IF(W388="",1,(1+((W388-70)/10*0.035)))*IF(U388="DOME",1,IF(U388="IN",1-(V388*0.01),IF(U388="OUT",1+(V388*0.01),IF(OR(U388="L-R",U388="R-L"),1+(V388*0.005),1))))</f>
        <v/>
      </c>
      <c r="U388" t="inlineStr">
        <is>
          <t>OUT</t>
        </is>
      </c>
      <c r="V388" t="n">
        <v>16</v>
      </c>
      <c r="W388" t="n">
        <v>79</v>
      </c>
      <c r="Y388">
        <f>B388 &amp; " vs. " &amp; H388</f>
        <v/>
      </c>
      <c r="Z388">
        <f>TRIM(LEFT(Y388, FIND("vs.", Y388)-1))</f>
        <v/>
      </c>
      <c r="AA388">
        <f>TRIM(MID(Y388, FIND(" vs. ", Y388)+4, 100))</f>
        <v/>
      </c>
      <c r="AB388" s="35">
        <f>IF(Q388 &gt; VALUE(AC388), "O " &amp; AC388, IF(Q388 &lt; VALUE(AC388), "U " &amp; AC388, AC388))</f>
        <v/>
      </c>
      <c r="AC388" s="15">
        <f>IF(OR(O388="-", P388="-"), "-", MROUND(O388 + P388, 0.5))</f>
        <v/>
      </c>
      <c r="AD388" s="15">
        <f>VALUE(TRIM(RIGHT(AF388, LEN(AF388) - FIND(" ", AF388))))</f>
        <v/>
      </c>
      <c r="AE388" s="15">
        <f>LEFT(AF388,FIND(" ",AF388)-1)</f>
        <v/>
      </c>
      <c r="AF388" s="15">
        <f>IF(OR(O388="-", P388="-"), "-",
IF(MROUND(ABS(O388-P388),0.5)&lt;=0.5,
IF(O388&gt;P388, B388 &amp; " ML", H388 &amp; " ML"),
IF(MROUND(ABS(O388-P388),0.5)=1,
IF(O388&gt;P388, H388 &amp; " +1.5", B388 &amp; " +1.5"),
IF(O388&gt;P388, B388 &amp; " -1.5", H388 &amp; " -1.5")
)
)
)</f>
        <v/>
      </c>
      <c r="AG388" s="15">
        <f>_xlfn.LET(
_xlpm.winA, O388^1.83 / (O388^1.83 + P388^1.83),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89">
      <c r="A389" s="81" t="n">
        <v>46125</v>
      </c>
      <c r="B389" t="inlineStr">
        <is>
          <t>RANGERS</t>
        </is>
      </c>
      <c r="C389">
        <f>VLOOKUP(B389, 'MLB Data'!$B$5:$D$34, 3, FALSE)</f>
        <v/>
      </c>
      <c r="D389" t="inlineStr">
        <is>
          <t>NATHAN EOVALDI</t>
        </is>
      </c>
      <c r="E389" t="n">
        <v>3.06</v>
      </c>
      <c r="F389" s="17">
        <f>VLOOKUP(B389, 'MLB Data'!$F$2:$H$34, 3, FALSE)</f>
        <v/>
      </c>
      <c r="G389" s="17">
        <f>IF((E389*0.6+F389*0.4)&lt;2.5, 2.8, IF((E389*0.6+F389*0.4)&gt;5.5, 5.2, (E389*0.6+F389*0.4)))</f>
        <v/>
      </c>
      <c r="H389" t="inlineStr">
        <is>
          <t>ATHLETICS</t>
        </is>
      </c>
      <c r="I389">
        <f>VLOOKUP(H389, 'MLB Data'!$B$5:$D$34, 3, FALSE)</f>
        <v/>
      </c>
      <c r="J389" t="inlineStr">
        <is>
          <t>LUIS SEVERINO</t>
        </is>
      </c>
      <c r="K389" t="n">
        <v>4.56</v>
      </c>
      <c r="L389" s="17">
        <f>VLOOKUP(H389, 'MLB Data'!$F$2:$H$34, 3, FALSE)</f>
        <v/>
      </c>
      <c r="M389" s="17">
        <f>IF((K389*0.6+L389*0.4)&lt;2.5, 2.8, IF((K389*0.6+L389*0.4)&gt;5.5, 5.2, (K389*0.6+L389*0.4)))</f>
        <v/>
      </c>
      <c r="O389" s="18">
        <f>(C389/100) * 4.1 * (M389 / 4.2) * T389</f>
        <v/>
      </c>
      <c r="P389" s="18">
        <f>(I389/100) * 4.05 * (G389 / 4.2) * T389</f>
        <v/>
      </c>
      <c r="Q389" s="18">
        <f>(O389+P389)</f>
        <v/>
      </c>
      <c r="S389" s="15">
        <f>H389</f>
        <v/>
      </c>
      <c r="T389" s="19">
        <f>IF(S389="ROCKIES",1.13,IF(S389="ATHLETICS",1.03,IF(S389="ROYALS",1.03,IF(S389="TWINS",1,IF(S389="TIGERS",1,IF(S389="MARLINS",1.01,IF(S389="REDS",1.05,IF(S389="RED SOX",1.04,IF(S389="YANKEES",1.02,IF(S389="DODGERS",0.99,IF(S389="PADRES",0.96,IF(S389="CUBS",0.98,IF(S389="GIANTS",0.97,IF(S389="MARINERS",0.94,IF(S389="RANGERS",1,IF(S389="ASTROS",0.99,IF(S389="BRAVES",1,IF(S389="METS",0.96,IF(S389="PHILLIES",1.02,IF(S389="BLUE JAYS",1.01,IF(S389="ORIOLES",0.99,IF(S389="RAYS",1.01,IF(S389="GUARDIANS",0.99,IF(S389="WHITE SOX",0.98,IF(S389="ANGELS",1.01,IF(S389="D-BACKS",1.01,IF(S389="BREWERS",0.99,IF(S389="CARDINALS",0.96,IF(S389="PIRATES",1.02,IF(S389="NATIONALS",1,1))))))))))))))))))))))))))))))*IF(W389="",1,(1+((W389-70)/10*0.035)))*IF(U389="DOME",1,IF(U389="IN",1-(V389*0.01),IF(U389="OUT",1+(V389*0.01),IF(OR(U389="L-R",U389="R-L"),1+(V389*0.005),1))))</f>
        <v/>
      </c>
      <c r="U389" t="inlineStr">
        <is>
          <t>DOME</t>
        </is>
      </c>
      <c r="V389" t="n">
        <v>0</v>
      </c>
      <c r="Y389">
        <f>B389 &amp; " vs. " &amp; H389</f>
        <v/>
      </c>
      <c r="Z389">
        <f>TRIM(LEFT(Y389, FIND("vs.", Y389)-1))</f>
        <v/>
      </c>
      <c r="AA389">
        <f>TRIM(MID(Y389, FIND(" vs. ", Y389)+4, 100))</f>
        <v/>
      </c>
      <c r="AB389" s="35">
        <f>IF(Q389 &gt; VALUE(AC389), "O " &amp; AC389, IF(Q389 &lt; VALUE(AC389), "U " &amp; AC389, AC389))</f>
        <v/>
      </c>
      <c r="AC389" s="15">
        <f>IF(OR(O389="-", P389="-"), "-", MROUND(O389 + P389, 0.5))</f>
        <v/>
      </c>
      <c r="AD389" s="15">
        <f>VALUE(TRIM(RIGHT(AF389, LEN(AF389) - FIND(" ", AF389))))</f>
        <v/>
      </c>
      <c r="AE389" s="15">
        <f>LEFT(AF389,FIND(" ",AF389)-1)</f>
        <v/>
      </c>
      <c r="AF389" s="15">
        <f>IF(OR(O389="-", P389="-"), "-",
IF(MROUND(ABS(O389-P389),0.5)&lt;=0.5,
IF(O389&gt;P389, B389 &amp; " ML", H389 &amp; " ML"),
IF(MROUND(ABS(O389-P389),0.5)=1,
IF(O389&gt;P389, H389 &amp; " +1.5", B389 &amp; " +1.5"),
IF(O389&gt;P389, B389 &amp; " -1.5", H389 &amp; " -1.5")
)
)
)</f>
        <v/>
      </c>
      <c r="AG389" s="15">
        <f>_xlfn.LET(
_xlpm.winA, O389^1.83 / (O389^1.83 + P389^1.83),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90">
      <c r="A390" s="81" t="n">
        <v>46125</v>
      </c>
      <c r="B390" t="inlineStr">
        <is>
          <t>METS</t>
        </is>
      </c>
      <c r="C390">
        <f>VLOOKUP(B390, 'MLB Data'!$B$5:$D$34, 3, FALSE)</f>
        <v/>
      </c>
      <c r="D390" t="inlineStr">
        <is>
          <t>DAVID PETERSON</t>
        </is>
      </c>
      <c r="E390" t="n">
        <v>3.66</v>
      </c>
      <c r="F390" s="17">
        <f>VLOOKUP(B390, 'MLB Data'!$F$2:$H$34, 3, FALSE)</f>
        <v/>
      </c>
      <c r="G390" s="17">
        <f>IF((E390*0.6+F390*0.4)&lt;2.5, 2.8, IF((E390*0.6+F390*0.4)&gt;5.5, 5.2, (E390*0.6+F390*0.4)))</f>
        <v/>
      </c>
      <c r="H390" t="inlineStr">
        <is>
          <t>DODGERS</t>
        </is>
      </c>
      <c r="I390">
        <f>VLOOKUP(H390, 'MLB Data'!$B$5:$D$34, 3, FALSE)</f>
        <v/>
      </c>
      <c r="J390" t="inlineStr">
        <is>
          <t>JUSTIN WROBLESKI</t>
        </is>
      </c>
      <c r="K390" t="n">
        <v>5.56</v>
      </c>
      <c r="L390" s="17">
        <f>VLOOKUP(H390, 'MLB Data'!$F$2:$H$34, 3, FALSE)</f>
        <v/>
      </c>
      <c r="M390" s="17">
        <f>IF((K390*0.6+L390*0.4)&lt;2.5, 2.8, IF((K390*0.6+L390*0.4)&gt;5.5, 5.2, (K390*0.6+L390*0.4)))</f>
        <v/>
      </c>
      <c r="O390" s="18">
        <f>(C390/100) * 4.1 * (M390 / 4.2) * T390</f>
        <v/>
      </c>
      <c r="P390" s="18">
        <f>(I390/100) * 4.05 * (G390 / 4.2) * T390</f>
        <v/>
      </c>
      <c r="Q390" s="18">
        <f>(O390+P390)</f>
        <v/>
      </c>
      <c r="S390" s="15">
        <f>H390</f>
        <v/>
      </c>
      <c r="T390" s="19">
        <f>IF(S390="ROCKIES",1.13,IF(S390="ATHLETICS",1.03,IF(S390="ROYALS",1.03,IF(S390="TWINS",1,IF(S390="TIGERS",1,IF(S390="MARLINS",1.01,IF(S390="REDS",1.05,IF(S390="RED SOX",1.04,IF(S390="YANKEES",1.02,IF(S390="DODGERS",0.99,IF(S390="PADRES",0.96,IF(S390="CUBS",0.98,IF(S390="GIANTS",0.97,IF(S390="MARINERS",0.94,IF(S390="RANGERS",1,IF(S390="ASTROS",0.99,IF(S390="BRAVES",1,IF(S390="METS",0.96,IF(S390="PHILLIES",1.02,IF(S390="BLUE JAYS",1.01,IF(S390="ORIOLES",0.99,IF(S390="RAYS",1.01,IF(S390="GUARDIANS",0.99,IF(S390="WHITE SOX",0.98,IF(S390="ANGELS",1.01,IF(S390="D-BACKS",1.01,IF(S390="BREWERS",0.99,IF(S390="CARDINALS",0.96,IF(S390="PIRATES",1.02,IF(S390="NATIONALS",1,1))))))))))))))))))))))))))))))*IF(W390="",1,(1+((W390-70)/10*0.035)))*IF(U390="DOME",1,IF(U390="IN",1-(V390*0.01),IF(U390="OUT",1+(V390*0.01),IF(OR(U390="L-R",U390="R-L"),1+(V390*0.005),1))))</f>
        <v/>
      </c>
      <c r="U390" t="inlineStr">
        <is>
          <t>CROSS</t>
        </is>
      </c>
      <c r="V390" t="n">
        <v>10</v>
      </c>
      <c r="W390" t="n">
        <v>62</v>
      </c>
      <c r="Y390">
        <f>B390 &amp; " vs. " &amp; H390</f>
        <v/>
      </c>
      <c r="Z390">
        <f>TRIM(LEFT(Y390, FIND("vs.", Y390)-1))</f>
        <v/>
      </c>
      <c r="AA390">
        <f>TRIM(MID(Y390, FIND(" vs. ", Y390)+4, 100))</f>
        <v/>
      </c>
      <c r="AB390" s="35">
        <f>IF(Q390 &gt; VALUE(AC390), "O " &amp; AC390, IF(Q390 &lt; VALUE(AC390), "U " &amp; AC390, AC390))</f>
        <v/>
      </c>
      <c r="AC390" s="15">
        <f>IF(OR(O390="-", P390="-"), "-", MROUND(O390 + P390, 0.5))</f>
        <v/>
      </c>
      <c r="AD390" s="15">
        <f>VALUE(TRIM(RIGHT(AF390, LEN(AF390) - FIND(" ", AF390))))</f>
        <v/>
      </c>
      <c r="AE390" s="15">
        <f>LEFT(AF390,FIND(" ",AF390)-1)</f>
        <v/>
      </c>
      <c r="AF390" s="15">
        <f>IF(OR(O390="-", P390="-"), "-",
IF(MROUND(ABS(O390-P390),0.5)&lt;=0.5,
IF(O390&gt;P390, B390 &amp; " ML", H390 &amp; " ML"),
IF(MROUND(ABS(O390-P390),0.5)=1,
IF(O390&gt;P390, H390 &amp; " +1.5", B390 &amp; " +1.5"),
IF(O390&gt;P390, B390 &amp; " -1.5", H390 &amp; " -1.5")
)
)
)</f>
        <v/>
      </c>
      <c r="AG390" s="15">
        <f>_xlfn.LET(
_xlpm.winA, O390^1.83 / (O390^1.83 + P390^1.83),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91">
      <c r="A391" s="81" t="n">
        <v>46126</v>
      </c>
      <c r="B391" t="inlineStr">
        <is>
          <t>D-BACKS</t>
        </is>
      </c>
      <c r="C391">
        <f>VLOOKUP(B391, 'MLB Data'!$B$5:$D$34, 3, FALSE)</f>
        <v/>
      </c>
      <c r="D391" t="inlineStr">
        <is>
          <t>MERRILL KELLY</t>
        </is>
      </c>
      <c r="E391" t="n">
        <v>3.81</v>
      </c>
      <c r="F391" s="17">
        <f>VLOOKUP(B391, 'MLB Data'!$F$2:$H$34, 3, FALSE)</f>
        <v/>
      </c>
      <c r="G391" s="17">
        <f>IF((E391*0.6+F391*0.4)&lt;2.5, 2.8, IF((E391*0.6+F391*0.4)&gt;5.5, 5.2, (E391*0.6+F391*0.4)))</f>
        <v/>
      </c>
      <c r="H391" t="inlineStr">
        <is>
          <t>ORIOLES</t>
        </is>
      </c>
      <c r="I391">
        <f>VLOOKUP(H391, 'MLB Data'!$B$5:$D$34, 3, FALSE)</f>
        <v/>
      </c>
      <c r="J391" t="inlineStr">
        <is>
          <t>TREVOR ROGERS</t>
        </is>
      </c>
      <c r="K391" t="n">
        <v>3.77</v>
      </c>
      <c r="L391" s="17">
        <f>VLOOKUP(H391, 'MLB Data'!$F$2:$H$34, 3, FALSE)</f>
        <v/>
      </c>
      <c r="M391" s="17">
        <f>IF((K391*0.6+L391*0.4)&lt;2.5, 2.8, IF((K391*0.6+L391*0.4)&gt;5.5, 5.2, (K391*0.6+L391*0.4)))</f>
        <v/>
      </c>
      <c r="O391" s="18">
        <f>(C391/100) * 4.1 * (M391 / 4.2) * T391</f>
        <v/>
      </c>
      <c r="P391" s="18">
        <f>(I391/100) * 4.05 * (G391 / 4.2) * T391</f>
        <v/>
      </c>
      <c r="Q391" s="18">
        <f>(O391+P391)</f>
        <v/>
      </c>
      <c r="S391" s="15">
        <f>H391</f>
        <v/>
      </c>
      <c r="T391" s="19">
        <f>IF(S391="ROCKIES",1.13,IF(S391="ATHLETICS",1.03,IF(S391="ROYALS",1.03,IF(S391="TWINS",1,IF(S391="TIGERS",1,IF(S391="MARLINS",1.01,IF(S391="REDS",1.05,IF(S391="RED SOX",1.04,IF(S391="YANKEES",1.02,IF(S391="DODGERS",0.99,IF(S391="PADRES",0.96,IF(S391="CUBS",0.98,IF(S391="GIANTS",0.97,IF(S391="MARINERS",0.94,IF(S391="RANGERS",1,IF(S391="ASTROS",0.99,IF(S391="BRAVES",1,IF(S391="METS",0.96,IF(S391="PHILLIES",1.02,IF(S391="BLUE JAYS",1.01,IF(S391="ORIOLES",0.99,IF(S391="RAYS",1.01,IF(S391="GUARDIANS",0.99,IF(S391="WHITE SOX",0.98,IF(S391="ANGELS",1.01,IF(S391="D-BACKS",1.01,IF(S391="BREWERS",0.99,IF(S391="CARDINALS",0.96,IF(S391="PIRATES",1.02,IF(S391="NATIONALS",1,1))))))))))))))))))))))))))))))*IF(W391="",1,(1+((W391-70)/10*0.035)))*IF(U391="DOME",1,IF(U391="IN",1-(V391*0.01),IF(U391="OUT",1+(V391*0.01),IF(OR(U391="L-R",U391="R-L"),1+(V391*0.005),1))))</f>
        <v/>
      </c>
      <c r="U391" t="inlineStr">
        <is>
          <t>OUT</t>
        </is>
      </c>
      <c r="V391" t="n">
        <v>9</v>
      </c>
      <c r="W391" t="n">
        <v>88</v>
      </c>
      <c r="Y391">
        <f>B391 &amp; " vs. " &amp; H391</f>
        <v/>
      </c>
      <c r="Z391">
        <f>TRIM(LEFT(Y391, FIND("vs.", Y391)-1))</f>
        <v/>
      </c>
      <c r="AA391">
        <f>TRIM(MID(Y391, FIND(" vs. ", Y391)+4, 100))</f>
        <v/>
      </c>
      <c r="AB391" s="35">
        <f>IF(Q391 &gt; VALUE(AC391), "O " &amp; AC391, IF(Q391 &lt; VALUE(AC391), "U " &amp; AC391, AC391))</f>
        <v/>
      </c>
      <c r="AC391" s="15">
        <f>IF(OR(O391="-", P391="-"), "-", MROUND(O391 + P391, 0.5))</f>
        <v/>
      </c>
      <c r="AD391" s="15">
        <f>VALUE(TRIM(RIGHT(AF391, LEN(AF391) - FIND(" ", AF391))))</f>
        <v/>
      </c>
      <c r="AE391" s="15">
        <f>LEFT(AF391,FIND(" ",AF391)-1)</f>
        <v/>
      </c>
      <c r="AF391" s="15">
        <f>IF(OR(O391="-", P391="-"), "-",
IF(MROUND(ABS(O391-P391),0.5)&lt;=0.5,
IF(O391&gt;P391, B391 &amp; " ML", H391 &amp; " ML"),
IF(MROUND(ABS(O391-P391),0.5)=1,
IF(O391&gt;P391, H391 &amp; " +1.5", B391 &amp; " +1.5"),
IF(O391&gt;P391, B391 &amp; " -1.5", H391 &amp; " -1.5")
)
)
)</f>
        <v/>
      </c>
      <c r="AG391" s="15">
        <f>_xlfn.LET(
_xlpm.winA, O391^1.83 / (O391^1.83 + P391^1.83),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92">
      <c r="A392" s="81" t="n">
        <v>46126</v>
      </c>
      <c r="B392" t="inlineStr">
        <is>
          <t>ROYALS</t>
        </is>
      </c>
      <c r="C392">
        <f>VLOOKUP(B392, 'MLB Data'!$B$5:$D$34, 3, FALSE)</f>
        <v/>
      </c>
      <c r="D392" t="inlineStr">
        <is>
          <t>COLE RAGANS</t>
        </is>
      </c>
      <c r="E392" t="n">
        <v>2.7</v>
      </c>
      <c r="F392" s="17">
        <f>VLOOKUP(B392, 'MLB Data'!$F$2:$H$34, 3, FALSE)</f>
        <v/>
      </c>
      <c r="G392" s="17">
        <f>IF((E392*0.6+F392*0.4)&lt;2.5, 2.8, IF((E392*0.6+F392*0.4)&gt;5.5, 5.2, (E392*0.6+F392*0.4)))</f>
        <v/>
      </c>
      <c r="H392" t="inlineStr">
        <is>
          <t>TIGERS</t>
        </is>
      </c>
      <c r="I392">
        <f>VLOOKUP(H392, 'MLB Data'!$B$5:$D$34, 3, FALSE)</f>
        <v/>
      </c>
      <c r="J392" t="inlineStr">
        <is>
          <t>FRAMBER VALDEZ</t>
        </is>
      </c>
      <c r="K392" t="n">
        <v>3.45</v>
      </c>
      <c r="L392" s="17">
        <f>VLOOKUP(H392, 'MLB Data'!$F$2:$H$34, 3, FALSE)</f>
        <v/>
      </c>
      <c r="M392" s="17">
        <f>IF((K392*0.6+L392*0.4)&lt;2.5, 2.8, IF((K392*0.6+L392*0.4)&gt;5.5, 5.2, (K392*0.6+L392*0.4)))</f>
        <v/>
      </c>
      <c r="O392" s="18">
        <f>(C392/100) * 4.1 * (M392 / 4.2) * T392</f>
        <v/>
      </c>
      <c r="P392" s="18">
        <f>(I392/100) * 4.05 * (G392 / 4.2) * T392</f>
        <v/>
      </c>
      <c r="Q392" s="18">
        <f>(O392+P392)</f>
        <v/>
      </c>
      <c r="S392" s="15">
        <f>H392</f>
        <v/>
      </c>
      <c r="T392" s="19">
        <f>IF(S392="ROCKIES",1.13,IF(S392="ATHLETICS",1.03,IF(S392="ROYALS",1.03,IF(S392="TWINS",1,IF(S392="TIGERS",1,IF(S392="MARLINS",1.01,IF(S392="REDS",1.05,IF(S392="RED SOX",1.04,IF(S392="YANKEES",1.02,IF(S392="DODGERS",0.99,IF(S392="PADRES",0.96,IF(S392="CUBS",0.98,IF(S392="GIANTS",0.97,IF(S392="MARINERS",0.94,IF(S392="RANGERS",1,IF(S392="ASTROS",0.99,IF(S392="BRAVES",1,IF(S392="METS",0.96,IF(S392="PHILLIES",1.02,IF(S392="BLUE JAYS",1.01,IF(S392="ORIOLES",0.99,IF(S392="RAYS",1.01,IF(S392="GUARDIANS",0.99,IF(S392="WHITE SOX",0.98,IF(S392="ANGELS",1.01,IF(S392="D-BACKS",1.01,IF(S392="BREWERS",0.99,IF(S392="CARDINALS",0.96,IF(S392="PIRATES",1.02,IF(S392="NATIONALS",1,1))))))))))))))))))))))))))))))*IF(W392="",1,(1+((W392-70)/10*0.035)))*IF(U392="DOME",1,IF(U392="IN",1-(V392*0.01),IF(U392="OUT",1+(V392*0.01),IF(OR(U392="L-R",U392="R-L"),1+(V392*0.005),1))))</f>
        <v/>
      </c>
      <c r="U392" t="inlineStr">
        <is>
          <t>CROSS</t>
        </is>
      </c>
      <c r="V392" t="n">
        <v>8</v>
      </c>
      <c r="W392" t="n">
        <v>81</v>
      </c>
      <c r="Y392">
        <f>B392 &amp; " vs. " &amp; H392</f>
        <v/>
      </c>
      <c r="Z392">
        <f>TRIM(LEFT(Y392, FIND("vs.", Y392)-1))</f>
        <v/>
      </c>
      <c r="AA392">
        <f>TRIM(MID(Y392, FIND(" vs. ", Y392)+4, 100))</f>
        <v/>
      </c>
      <c r="AB392" s="35">
        <f>IF(Q392 &gt; VALUE(AC392), "O " &amp; AC392, IF(Q392 &lt; VALUE(AC392), "U " &amp; AC392, AC392))</f>
        <v/>
      </c>
      <c r="AC392" s="15">
        <f>IF(OR(O392="-", P392="-"), "-", MROUND(O392 + P392, 0.5))</f>
        <v/>
      </c>
      <c r="AD392" s="15">
        <f>VALUE(TRIM(RIGHT(AF392, LEN(AF392) - FIND(" ", AF392))))</f>
        <v/>
      </c>
      <c r="AE392" s="15">
        <f>LEFT(AF392,FIND(" ",AF392)-1)</f>
        <v/>
      </c>
      <c r="AF392" s="15">
        <f>IF(OR(O392="-", P392="-"), "-",
IF(MROUND(ABS(O392-P392),0.5)&lt;=0.5,
IF(O392&gt;P392, B392 &amp; " ML", H392 &amp; " ML"),
IF(MROUND(ABS(O392-P392),0.5)=1,
IF(O392&gt;P392, H392 &amp; " +1.5", B392 &amp; " +1.5"),
IF(O392&gt;P392, B392 &amp; " -1.5", H392 &amp; " -1.5")
)
)
)</f>
        <v/>
      </c>
      <c r="AG392" s="15">
        <f>_xlfn.LET(
_xlpm.winA, O392^1.83 / (O392^1.83 + P392^1.83),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93">
      <c r="A393" s="81" t="n">
        <v>46126</v>
      </c>
      <c r="B393" t="inlineStr">
        <is>
          <t>NATIONALS</t>
        </is>
      </c>
      <c r="C393">
        <f>VLOOKUP(B393, 'MLB Data'!$B$5:$D$34, 3, FALSE)</f>
        <v/>
      </c>
      <c r="D393" t="inlineStr">
        <is>
          <t>MILES MIKOLAS</t>
        </is>
      </c>
      <c r="E393" t="n">
        <v>4.92</v>
      </c>
      <c r="F393" s="17">
        <f>VLOOKUP(B393, 'MLB Data'!$F$2:$H$34, 3, FALSE)</f>
        <v/>
      </c>
      <c r="G393" s="17">
        <f>IF((E393*0.6+F393*0.4)&lt;2.5, 2.8, IF((E393*0.6+F393*0.4)&gt;5.5, 5.2, (E393*0.6+F393*0.4)))</f>
        <v/>
      </c>
      <c r="H393" t="inlineStr">
        <is>
          <t>PIRATES</t>
        </is>
      </c>
      <c r="I393">
        <f>VLOOKUP(H393, 'MLB Data'!$B$5:$D$34, 3, FALSE)</f>
        <v/>
      </c>
      <c r="J393" t="inlineStr">
        <is>
          <t>MITCH KELLER</t>
        </is>
      </c>
      <c r="K393" t="n">
        <v>4.2</v>
      </c>
      <c r="L393" s="17">
        <f>VLOOKUP(H393, 'MLB Data'!$F$2:$H$34, 3, FALSE)</f>
        <v/>
      </c>
      <c r="M393" s="17">
        <f>IF((K393*0.6+L393*0.4)&lt;2.5, 2.8, IF((K393*0.6+L393*0.4)&gt;5.5, 5.2, (K393*0.6+L393*0.4)))</f>
        <v/>
      </c>
      <c r="O393" s="18">
        <f>(C393/100) * 4.1 * (M393 / 4.2) * T393</f>
        <v/>
      </c>
      <c r="P393" s="18">
        <f>(I393/100) * 4.05 * (G393 / 4.2) * T393</f>
        <v/>
      </c>
      <c r="Q393" s="18">
        <f>(O393+P393)</f>
        <v/>
      </c>
      <c r="S393" s="15">
        <f>H393</f>
        <v/>
      </c>
      <c r="T393" s="19">
        <f>IF(S393="ROCKIES",1.13,IF(S393="ATHLETICS",1.03,IF(S393="ROYALS",1.03,IF(S393="TWINS",1,IF(S393="TIGERS",1,IF(S393="MARLINS",1.01,IF(S393="REDS",1.05,IF(S393="RED SOX",1.04,IF(S393="YANKEES",1.02,IF(S393="DODGERS",0.99,IF(S393="PADRES",0.96,IF(S393="CUBS",0.98,IF(S393="GIANTS",0.97,IF(S393="MARINERS",0.94,IF(S393="RANGERS",1,IF(S393="ASTROS",0.99,IF(S393="BRAVES",1,IF(S393="METS",0.96,IF(S393="PHILLIES",1.02,IF(S393="BLUE JAYS",1.01,IF(S393="ORIOLES",0.99,IF(S393="RAYS",1.01,IF(S393="GUARDIANS",0.99,IF(S393="WHITE SOX",0.98,IF(S393="ANGELS",1.01,IF(S393="D-BACKS",1.01,IF(S393="BREWERS",0.99,IF(S393="CARDINALS",0.96,IF(S393="PIRATES",1.02,IF(S393="NATIONALS",1,1))))))))))))))))))))))))))))))*IF(W393="",1,(1+((W393-70)/10*0.035)))*IF(U393="DOME",1,IF(U393="IN",1-(V393*0.01),IF(U393="OUT",1+(V393*0.01),IF(OR(U393="L-R",U393="R-L"),1+(V393*0.005),1))))</f>
        <v/>
      </c>
      <c r="U393" t="inlineStr">
        <is>
          <t>CROSS</t>
        </is>
      </c>
      <c r="V393" t="n">
        <v>11</v>
      </c>
      <c r="W393" t="n">
        <v>80</v>
      </c>
      <c r="Y393">
        <f>B393 &amp; " vs. " &amp; H393</f>
        <v/>
      </c>
      <c r="Z393">
        <f>TRIM(LEFT(Y393, FIND("vs.", Y393)-1))</f>
        <v/>
      </c>
      <c r="AA393">
        <f>TRIM(MID(Y393, FIND(" vs. ", Y393)+4, 100))</f>
        <v/>
      </c>
      <c r="AB393" s="35">
        <f>IF(Q393 &gt; VALUE(AC393), "O " &amp; AC393, IF(Q393 &lt; VALUE(AC393), "U " &amp; AC393, AC393))</f>
        <v/>
      </c>
      <c r="AC393" s="15">
        <f>IF(OR(O393="-", P393="-"), "-", MROUND(O393 + P393, 0.5))</f>
        <v/>
      </c>
      <c r="AD393" s="15">
        <f>VALUE(TRIM(RIGHT(AF393, LEN(AF393) - FIND(" ", AF393))))</f>
        <v/>
      </c>
      <c r="AE393" s="15">
        <f>LEFT(AF393,FIND(" ",AF393)-1)</f>
        <v/>
      </c>
      <c r="AF393" s="15">
        <f>IF(OR(O393="-", P393="-"), "-",
IF(MROUND(ABS(O393-P393),0.5)&lt;=0.5,
IF(O393&gt;P393, B393 &amp; " ML", H393 &amp; " ML"),
IF(MROUND(ABS(O393-P393),0.5)=1,
IF(O393&gt;P393, H393 &amp; " +1.5", B393 &amp; " +1.5"),
IF(O393&gt;P393, B393 &amp; " -1.5", H393 &amp; " -1.5")
)
)
)</f>
        <v/>
      </c>
      <c r="AG393" s="15">
        <f>_xlfn.LET(
_xlpm.winA, O393^1.83 / (O393^1.83 + P393^1.83),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94">
      <c r="A394" s="81" t="n">
        <v>46126</v>
      </c>
      <c r="B394" t="inlineStr">
        <is>
          <t>GIANTS</t>
        </is>
      </c>
      <c r="C394">
        <f>VLOOKUP(B394, 'MLB Data'!$B$5:$D$34, 3, FALSE)</f>
        <v/>
      </c>
      <c r="D394" t="inlineStr">
        <is>
          <t>ROBBIE RAY</t>
        </is>
      </c>
      <c r="E394" t="n">
        <v>4.24</v>
      </c>
      <c r="F394" s="17">
        <f>VLOOKUP(B394, 'MLB Data'!$F$2:$H$34, 3, FALSE)</f>
        <v/>
      </c>
      <c r="G394" s="17">
        <f>IF((E394*0.6+F394*0.4)&lt;2.5, 2.8, IF((E394*0.6+F394*0.4)&gt;5.5, 5.2, (E394*0.6+F394*0.4)))</f>
        <v/>
      </c>
      <c r="H394" t="inlineStr">
        <is>
          <t>REDS</t>
        </is>
      </c>
      <c r="I394">
        <f>VLOOKUP(H394, 'MLB Data'!$B$5:$D$34, 3, FALSE)</f>
        <v/>
      </c>
      <c r="J394" t="inlineStr">
        <is>
          <t>BRADY SINGER</t>
        </is>
      </c>
      <c r="K394" t="n">
        <v>3.98</v>
      </c>
      <c r="L394" s="17">
        <f>VLOOKUP(H394, 'MLB Data'!$F$2:$H$34, 3, FALSE)</f>
        <v/>
      </c>
      <c r="M394" s="17">
        <f>IF((K394*0.6+L394*0.4)&lt;2.5, 2.8, IF((K394*0.6+L394*0.4)&gt;5.5, 5.2, (K394*0.6+L394*0.4)))</f>
        <v/>
      </c>
      <c r="O394" s="18">
        <f>(C394/100) * 4.1 * (M394 / 4.2) * T394</f>
        <v/>
      </c>
      <c r="P394" s="18">
        <f>(I394/100) * 4.05 * (G394 / 4.2) * T394</f>
        <v/>
      </c>
      <c r="Q394" s="18">
        <f>(O394+P394)</f>
        <v/>
      </c>
      <c r="S394" s="15">
        <f>H394</f>
        <v/>
      </c>
      <c r="T394" s="19">
        <f>IF(S394="ROCKIES",1.13,IF(S394="ATHLETICS",1.03,IF(S394="ROYALS",1.03,IF(S394="TWINS",1,IF(S394="TIGERS",1,IF(S394="MARLINS",1.01,IF(S394="REDS",1.05,IF(S394="RED SOX",1.04,IF(S394="YANKEES",1.02,IF(S394="DODGERS",0.99,IF(S394="PADRES",0.96,IF(S394="CUBS",0.98,IF(S394="GIANTS",0.97,IF(S394="MARINERS",0.94,IF(S394="RANGERS",1,IF(S394="ASTROS",0.99,IF(S394="BRAVES",1,IF(S394="METS",0.96,IF(S394="PHILLIES",1.02,IF(S394="BLUE JAYS",1.01,IF(S394="ORIOLES",0.99,IF(S394="RAYS",1.01,IF(S394="GUARDIANS",0.99,IF(S394="WHITE SOX",0.98,IF(S394="ANGELS",1.01,IF(S394="D-BACKS",1.01,IF(S394="BREWERS",0.99,IF(S394="CARDINALS",0.96,IF(S394="PIRATES",1.02,IF(S394="NATIONALS",1,1))))))))))))))))))))))))))))))*IF(W394="",1,(1+((W394-70)/10*0.035)))*IF(U394="DOME",1,IF(U394="IN",1-(V394*0.01),IF(U394="OUT",1+(V394*0.01),IF(OR(U394="L-R",U394="R-L"),1+(V394*0.005),1))))</f>
        <v/>
      </c>
      <c r="U394" t="inlineStr">
        <is>
          <t>CROSS</t>
        </is>
      </c>
      <c r="V394" t="n">
        <v>11</v>
      </c>
      <c r="W394" t="n">
        <v>76</v>
      </c>
      <c r="Y394">
        <f>B394 &amp; " vs. " &amp; H394</f>
        <v/>
      </c>
      <c r="Z394">
        <f>TRIM(LEFT(Y394, FIND("vs.", Y394)-1))</f>
        <v/>
      </c>
      <c r="AA394">
        <f>TRIM(MID(Y394, FIND(" vs. ", Y394)+4, 100))</f>
        <v/>
      </c>
      <c r="AB394" s="35">
        <f>IF(Q394 &gt; VALUE(AC394), "O " &amp; AC394, IF(Q394 &lt; VALUE(AC394), "U " &amp; AC394, AC394))</f>
        <v/>
      </c>
      <c r="AC394" s="15">
        <f>IF(OR(O394="-", P394="-"), "-", MROUND(O394 + P394, 0.5))</f>
        <v/>
      </c>
      <c r="AD394" s="15">
        <f>VALUE(TRIM(RIGHT(AF394, LEN(AF394) - FIND(" ", AF394))))</f>
        <v/>
      </c>
      <c r="AE394" s="15">
        <f>LEFT(AF394,FIND(" ",AF394)-1)</f>
        <v/>
      </c>
      <c r="AF394" s="15">
        <f>IF(OR(O394="-", P394="-"), "-",
IF(MROUND(ABS(O394-P394),0.5)&lt;=0.5,
IF(O394&gt;P394, B394 &amp; " ML", H394 &amp; " ML"),
IF(MROUND(ABS(O394-P394),0.5)=1,
IF(O394&gt;P394, H394 &amp; " +1.5", B394 &amp; " +1.5"),
IF(O394&gt;P394, B394 &amp; " -1.5", H394 &amp; " -1.5")
)
)
)</f>
        <v/>
      </c>
      <c r="AG394" s="15">
        <f>_xlfn.LET(
_xlpm.winA, O394^1.83 / (O394^1.83 + P394^1.83),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95">
      <c r="A395" s="81" t="n">
        <v>46126</v>
      </c>
      <c r="B395" t="inlineStr">
        <is>
          <t>CUBS</t>
        </is>
      </c>
      <c r="C395">
        <f>VLOOKUP(B395, 'MLB Data'!$B$5:$D$34, 3, FALSE)</f>
        <v/>
      </c>
      <c r="D395" t="inlineStr">
        <is>
          <t>RILEY MARTIN</t>
        </is>
      </c>
      <c r="E395" t="n">
        <v>4.49</v>
      </c>
      <c r="F395" s="17">
        <f>VLOOKUP(B395, 'MLB Data'!$F$2:$H$34, 3, FALSE)</f>
        <v/>
      </c>
      <c r="G395" s="17">
        <f>IF((E395*0.6+F395*0.4)&lt;2.5, 2.8, IF((E395*0.6+F395*0.4)&gt;5.5, 5.2, (E395*0.6+F395*0.4)))</f>
        <v/>
      </c>
      <c r="H395" t="inlineStr">
        <is>
          <t>PHILLIES</t>
        </is>
      </c>
      <c r="I395">
        <f>VLOOKUP(H395, 'MLB Data'!$B$5:$D$34, 3, FALSE)</f>
        <v/>
      </c>
      <c r="J395" t="inlineStr">
        <is>
          <t>AARON NOLA</t>
        </is>
      </c>
      <c r="K395" t="n">
        <v>3.59</v>
      </c>
      <c r="L395" s="17">
        <f>VLOOKUP(H395, 'MLB Data'!$F$2:$H$34, 3, FALSE)</f>
        <v/>
      </c>
      <c r="M395" s="17">
        <f>IF((K395*0.6+L395*0.4)&lt;2.5, 2.8, IF((K395*0.6+L395*0.4)&gt;5.5, 5.2, (K395*0.6+L395*0.4)))</f>
        <v/>
      </c>
      <c r="O395" s="18">
        <f>(C395/100) * 4.1 * (M395 / 4.2) * T395</f>
        <v/>
      </c>
      <c r="P395" s="18">
        <f>(I395/100) * 4.05 * (G395 / 4.2) * T395</f>
        <v/>
      </c>
      <c r="Q395" s="18">
        <f>(O395+P395)</f>
        <v/>
      </c>
      <c r="S395" s="15">
        <f>H395</f>
        <v/>
      </c>
      <c r="T395" s="19">
        <f>IF(S395="ROCKIES",1.13,IF(S395="ATHLETICS",1.03,IF(S395="ROYALS",1.03,IF(S395="TWINS",1,IF(S395="TIGERS",1,IF(S395="MARLINS",1.01,IF(S395="REDS",1.05,IF(S395="RED SOX",1.04,IF(S395="YANKEES",1.02,IF(S395="DODGERS",0.99,IF(S395="PADRES",0.96,IF(S395="CUBS",0.98,IF(S395="GIANTS",0.97,IF(S395="MARINERS",0.94,IF(S395="RANGERS",1,IF(S395="ASTROS",0.99,IF(S395="BRAVES",1,IF(S395="METS",0.96,IF(S395="PHILLIES",1.02,IF(S395="BLUE JAYS",1.01,IF(S395="ORIOLES",0.99,IF(S395="RAYS",1.01,IF(S395="GUARDIANS",0.99,IF(S395="WHITE SOX",0.98,IF(S395="ANGELS",1.01,IF(S395="D-BACKS",1.01,IF(S395="BREWERS",0.99,IF(S395="CARDINALS",0.96,IF(S395="PIRATES",1.02,IF(S395="NATIONALS",1,1))))))))))))))))))))))))))))))*IF(W395="",1,(1+((W395-70)/10*0.035)))*IF(U395="DOME",1,IF(U395="IN",1-(V395*0.01),IF(U395="OUT",1+(V395*0.01),IF(OR(U395="L-R",U395="R-L"),1+(V395*0.005),1))))</f>
        <v/>
      </c>
      <c r="U395" t="inlineStr">
        <is>
          <t>OUT</t>
        </is>
      </c>
      <c r="V395" t="n">
        <v>10</v>
      </c>
      <c r="W395" t="n">
        <v>86</v>
      </c>
      <c r="Y395">
        <f>B395 &amp; " vs. " &amp; H395</f>
        <v/>
      </c>
      <c r="Z395">
        <f>TRIM(LEFT(Y395, FIND("vs.", Y395)-1))</f>
        <v/>
      </c>
      <c r="AA395">
        <f>TRIM(MID(Y395, FIND(" vs. ", Y395)+4, 100))</f>
        <v/>
      </c>
      <c r="AB395" s="35">
        <f>IF(Q395 &gt; VALUE(AC395), "O " &amp; AC395, IF(Q395 &lt; VALUE(AC395), "U " &amp; AC395, AC395))</f>
        <v/>
      </c>
      <c r="AC395" s="15">
        <f>IF(OR(O395="-", P395="-"), "-", MROUND(O395 + P395, 0.5))</f>
        <v/>
      </c>
      <c r="AD395" s="15">
        <f>VALUE(TRIM(RIGHT(AF395, LEN(AF395) - FIND(" ", AF395))))</f>
        <v/>
      </c>
      <c r="AE395" s="15">
        <f>LEFT(AF395,FIND(" ",AF395)-1)</f>
        <v/>
      </c>
      <c r="AF395" s="15">
        <f>IF(OR(O395="-", P395="-"), "-",
IF(MROUND(ABS(O395-P395),0.5)&lt;=0.5,
IF(O395&gt;P395, B395 &amp; " ML", H395 &amp; " ML"),
IF(MROUND(ABS(O395-P395),0.5)=1,
IF(O395&gt;P395, H395 &amp; " +1.5", B395 &amp; " +1.5"),
IF(O395&gt;P395, B395 &amp; " -1.5", H395 &amp; " -1.5")
)
)
)</f>
        <v/>
      </c>
      <c r="AG395" s="15">
        <f>_xlfn.LET(
_xlpm.winA, O395^1.83 / (O395^1.83 + P395^1.83),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96">
      <c r="A396" s="81" t="n">
        <v>46126</v>
      </c>
      <c r="B396" t="inlineStr">
        <is>
          <t>ANGELS</t>
        </is>
      </c>
      <c r="C396">
        <f>VLOOKUP(B396, 'MLB Data'!$B$5:$D$34, 3, FALSE)</f>
        <v/>
      </c>
      <c r="D396" t="inlineStr">
        <is>
          <t>REID DETMERS</t>
        </is>
      </c>
      <c r="E396" t="n">
        <v>4.45</v>
      </c>
      <c r="F396" s="17">
        <f>VLOOKUP(B396, 'MLB Data'!$F$2:$H$34, 3, FALSE)</f>
        <v/>
      </c>
      <c r="G396" s="17">
        <f>IF((E396*0.6+F396*0.4)&lt;2.5, 2.8, IF((E396*0.6+F396*0.4)&gt;5.5, 5.2, (E396*0.6+F396*0.4)))</f>
        <v/>
      </c>
      <c r="H396" t="inlineStr">
        <is>
          <t>YANKEES</t>
        </is>
      </c>
      <c r="I396">
        <f>VLOOKUP(H396, 'MLB Data'!$B$5:$D$34, 3, FALSE)</f>
        <v/>
      </c>
      <c r="J396" t="inlineStr">
        <is>
          <t>RYAN WEATHERS</t>
        </is>
      </c>
      <c r="K396" t="n">
        <v>3.8</v>
      </c>
      <c r="L396" s="17">
        <f>VLOOKUP(H396, 'MLB Data'!$F$2:$H$34, 3, FALSE)</f>
        <v/>
      </c>
      <c r="M396" s="17">
        <f>IF((K396*0.6+L396*0.4)&lt;2.5, 2.8, IF((K396*0.6+L396*0.4)&gt;5.5, 5.2, (K396*0.6+L396*0.4)))</f>
        <v/>
      </c>
      <c r="O396" s="18">
        <f>(C396/100) * 4.1 * (M396 / 4.2) * T396</f>
        <v/>
      </c>
      <c r="P396" s="18">
        <f>(I396/100) * 4.05 * (G396 / 4.2) * T396</f>
        <v/>
      </c>
      <c r="Q396" s="18">
        <f>(O396+P396)</f>
        <v/>
      </c>
      <c r="S396" s="15">
        <f>H396</f>
        <v/>
      </c>
      <c r="T396" s="19">
        <f>IF(S396="ROCKIES",1.13,IF(S396="ATHLETICS",1.03,IF(S396="ROYALS",1.03,IF(S396="TWINS",1,IF(S396="TIGERS",1,IF(S396="MARLINS",1.01,IF(S396="REDS",1.05,IF(S396="RED SOX",1.04,IF(S396="YANKEES",1.02,IF(S396="DODGERS",0.99,IF(S396="PADRES",0.96,IF(S396="CUBS",0.98,IF(S396="GIANTS",0.97,IF(S396="MARINERS",0.94,IF(S396="RANGERS",1,IF(S396="ASTROS",0.99,IF(S396="BRAVES",1,IF(S396="METS",0.96,IF(S396="PHILLIES",1.02,IF(S396="BLUE JAYS",1.01,IF(S396="ORIOLES",0.99,IF(S396="RAYS",1.01,IF(S396="GUARDIANS",0.99,IF(S396="WHITE SOX",0.98,IF(S396="ANGELS",1.01,IF(S396="D-BACKS",1.01,IF(S396="BREWERS",0.99,IF(S396="CARDINALS",0.96,IF(S396="PIRATES",1.02,IF(S396="NATIONALS",1,1))))))))))))))))))))))))))))))*IF(W396="",1,(1+((W396-70)/10*0.035)))*IF(U396="DOME",1,IF(U396="IN",1-(V396*0.01),IF(U396="OUT",1+(V396*0.01),IF(OR(U396="L-R",U396="R-L"),1+(V396*0.005),1))))</f>
        <v/>
      </c>
      <c r="U396" t="inlineStr">
        <is>
          <t>OUT</t>
        </is>
      </c>
      <c r="V396" t="n">
        <v>11</v>
      </c>
      <c r="W396" t="n">
        <v>74</v>
      </c>
      <c r="Y396">
        <f>B396 &amp; " vs. " &amp; H396</f>
        <v/>
      </c>
      <c r="Z396">
        <f>TRIM(LEFT(Y396, FIND("vs.", Y396)-1))</f>
        <v/>
      </c>
      <c r="AA396">
        <f>TRIM(MID(Y396, FIND(" vs. ", Y396)+4, 100))</f>
        <v/>
      </c>
      <c r="AB396" s="35">
        <f>IF(Q396 &gt; VALUE(AC396), "O " &amp; AC396, IF(Q396 &lt; VALUE(AC396), "U " &amp; AC396, AC396))</f>
        <v/>
      </c>
      <c r="AC396" s="15">
        <f>IF(OR(O396="-", P396="-"), "-", MROUND(O396 + P396, 0.5))</f>
        <v/>
      </c>
      <c r="AD396" s="15">
        <f>VALUE(TRIM(RIGHT(AF396, LEN(AF396) - FIND(" ", AF396))))</f>
        <v/>
      </c>
      <c r="AE396" s="15">
        <f>LEFT(AF396,FIND(" ",AF396)-1)</f>
        <v/>
      </c>
      <c r="AF396" s="15">
        <f>IF(OR(O396="-", P396="-"), "-",
IF(MROUND(ABS(O396-P396),0.5)&lt;=0.5,
IF(O396&gt;P396, B396 &amp; " ML", H396 &amp; " ML"),
IF(MROUND(ABS(O396-P396),0.5)=1,
IF(O396&gt;P396, H396 &amp; " +1.5", B396 &amp; " +1.5"),
IF(O396&gt;P396, B396 &amp; " -1.5", H396 &amp; " -1.5")
)
)
)</f>
        <v/>
      </c>
      <c r="AG396" s="15">
        <f>_xlfn.LET(
_xlpm.winA, O396^1.83 / (O396^1.83 + P396^1.83),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97">
      <c r="A397" s="81" t="n">
        <v>46126</v>
      </c>
      <c r="B397" t="inlineStr">
        <is>
          <t>MARLINS</t>
        </is>
      </c>
      <c r="C397">
        <f>VLOOKUP(B397, 'MLB Data'!$B$5:$D$34, 3, FALSE)</f>
        <v/>
      </c>
      <c r="D397" t="inlineStr">
        <is>
          <t>MAX MEYER</t>
        </is>
      </c>
      <c r="E397" t="n">
        <v>3.68</v>
      </c>
      <c r="F397" s="17">
        <f>VLOOKUP(B397, 'MLB Data'!$F$2:$H$34, 3, FALSE)</f>
        <v/>
      </c>
      <c r="G397" s="17">
        <f>IF((E397*0.6+F397*0.4)&lt;2.5, 2.8, IF((E397*0.6+F397*0.4)&gt;5.5, 5.2, (E397*0.6+F397*0.4)))</f>
        <v/>
      </c>
      <c r="H397" t="inlineStr">
        <is>
          <t>BRAVES</t>
        </is>
      </c>
      <c r="I397">
        <f>VLOOKUP(H397, 'MLB Data'!$B$5:$D$34, 3, FALSE)</f>
        <v/>
      </c>
      <c r="J397" t="inlineStr">
        <is>
          <t>REYNALDO LÓPEZ</t>
        </is>
      </c>
      <c r="L397" s="17">
        <f>VLOOKUP(H397, 'MLB Data'!$F$2:$H$34, 3, FALSE)</f>
        <v/>
      </c>
      <c r="M397" s="17">
        <f>IF((K397*0.6+L397*0.4)&lt;2.5, 2.8, IF((K397*0.6+L397*0.4)&gt;5.5, 5.2, (K397*0.6+L397*0.4)))</f>
        <v/>
      </c>
      <c r="O397" s="18">
        <f>(C397/100) * 4.1 * (M397 / 4.2) * T397</f>
        <v/>
      </c>
      <c r="P397" s="18">
        <f>(I397/100) * 4.05 * (G397 / 4.2) * T397</f>
        <v/>
      </c>
      <c r="Q397" s="18">
        <f>(O397+P397)</f>
        <v/>
      </c>
      <c r="S397" s="15">
        <f>H397</f>
        <v/>
      </c>
      <c r="T397" s="19">
        <f>IF(S397="ROCKIES",1.13,IF(S397="ATHLETICS",1.03,IF(S397="ROYALS",1.03,IF(S397="TWINS",1,IF(S397="TIGERS",1,IF(S397="MARLINS",1.01,IF(S397="REDS",1.05,IF(S397="RED SOX",1.04,IF(S397="YANKEES",1.02,IF(S397="DODGERS",0.99,IF(S397="PADRES",0.96,IF(S397="CUBS",0.98,IF(S397="GIANTS",0.97,IF(S397="MARINERS",0.94,IF(S397="RANGERS",1,IF(S397="ASTROS",0.99,IF(S397="BRAVES",1,IF(S397="METS",0.96,IF(S397="PHILLIES",1.02,IF(S397="BLUE JAYS",1.01,IF(S397="ORIOLES",0.99,IF(S397="RAYS",1.01,IF(S397="GUARDIANS",0.99,IF(S397="WHITE SOX",0.98,IF(S397="ANGELS",1.01,IF(S397="D-BACKS",1.01,IF(S397="BREWERS",0.99,IF(S397="CARDINALS",0.96,IF(S397="PIRATES",1.02,IF(S397="NATIONALS",1,1))))))))))))))))))))))))))))))*IF(W397="",1,(1+((W397-70)/10*0.035)))*IF(U397="DOME",1,IF(U397="IN",1-(V397*0.01),IF(U397="OUT",1+(V397*0.01),IF(OR(U397="L-R",U397="R-L"),1+(V397*0.005),1))))</f>
        <v/>
      </c>
      <c r="U397" t="inlineStr">
        <is>
          <t>CROSS</t>
        </is>
      </c>
      <c r="V397" t="n">
        <v>9</v>
      </c>
      <c r="W397" t="n">
        <v>84</v>
      </c>
      <c r="Y397">
        <f>B397 &amp; " vs. " &amp; H397</f>
        <v/>
      </c>
      <c r="Z397">
        <f>TRIM(LEFT(Y397, FIND("vs.", Y397)-1))</f>
        <v/>
      </c>
      <c r="AA397">
        <f>TRIM(MID(Y397, FIND(" vs. ", Y397)+4, 100))</f>
        <v/>
      </c>
      <c r="AB397" s="35">
        <f>IF(Q397 &gt; VALUE(AC397), "O " &amp; AC397, IF(Q397 &lt; VALUE(AC397), "U " &amp; AC397, AC397))</f>
        <v/>
      </c>
      <c r="AC397" s="15">
        <f>IF(OR(O397="-", P397="-"), "-", MROUND(O397 + P397, 0.5))</f>
        <v/>
      </c>
      <c r="AD397" s="15">
        <f>VALUE(TRIM(RIGHT(AF397, LEN(AF397) - FIND(" ", AF397))))</f>
        <v/>
      </c>
      <c r="AE397" s="15">
        <f>LEFT(AF397,FIND(" ",AF397)-1)</f>
        <v/>
      </c>
      <c r="AF397" s="15">
        <f>IF(OR(O397="-", P397="-"), "-",
IF(MROUND(ABS(O397-P397),0.5)&lt;=0.5,
IF(O397&gt;P397, B397 &amp; " ML", H397 &amp; " ML"),
IF(MROUND(ABS(O397-P397),0.5)=1,
IF(O397&gt;P397, H397 &amp; " +1.5", B397 &amp; " +1.5"),
IF(O397&gt;P397, B397 &amp; " -1.5", H397 &amp; " -1.5")
)
)
)</f>
        <v/>
      </c>
      <c r="AG397" s="15">
        <f>_xlfn.LET(
_xlpm.winA, O397^1.83 / (O397^1.83 + P397^1.83),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98">
      <c r="A398" s="81" t="n">
        <v>46126</v>
      </c>
      <c r="B398" t="inlineStr">
        <is>
          <t>RED SOX</t>
        </is>
      </c>
      <c r="C398">
        <f>VLOOKUP(B398, 'MLB Data'!$B$5:$D$34, 3, FALSE)</f>
        <v/>
      </c>
      <c r="D398" t="inlineStr">
        <is>
          <t>SONNY GRAY</t>
        </is>
      </c>
      <c r="E398" t="n">
        <v>3.22</v>
      </c>
      <c r="F398" s="17">
        <f>VLOOKUP(B398, 'MLB Data'!$F$2:$H$34, 3, FALSE)</f>
        <v/>
      </c>
      <c r="G398" s="17">
        <f>IF((E398*0.6+F398*0.4)&lt;2.5, 2.8, IF((E398*0.6+F398*0.4)&gt;5.5, 5.2, (E398*0.6+F398*0.4)))</f>
        <v/>
      </c>
      <c r="H398" t="inlineStr">
        <is>
          <t>TWINS</t>
        </is>
      </c>
      <c r="I398">
        <f>VLOOKUP(H398, 'MLB Data'!$B$5:$D$34, 3, FALSE)</f>
        <v/>
      </c>
      <c r="J398" t="inlineStr">
        <is>
          <t>MICK ABEL</t>
        </is>
      </c>
      <c r="K398" t="n">
        <v>4.76</v>
      </c>
      <c r="L398" s="17">
        <f>VLOOKUP(H398, 'MLB Data'!$F$2:$H$34, 3, FALSE)</f>
        <v/>
      </c>
      <c r="M398" s="17">
        <f>IF((K398*0.6+L398*0.4)&lt;2.5, 2.8, IF((K398*0.6+L398*0.4)&gt;5.5, 5.2, (K398*0.6+L398*0.4)))</f>
        <v/>
      </c>
      <c r="O398" s="18">
        <f>(C398/100) * 4.1 * (M398 / 4.2) * T398</f>
        <v/>
      </c>
      <c r="P398" s="18">
        <f>(I398/100) * 4.05 * (G398 / 4.2) * T398</f>
        <v/>
      </c>
      <c r="Q398" s="18">
        <f>(O398+P398)</f>
        <v/>
      </c>
      <c r="S398" s="15">
        <f>H398</f>
        <v/>
      </c>
      <c r="T398" s="19">
        <f>IF(S398="ROCKIES",1.13,IF(S398="ATHLETICS",1.03,IF(S398="ROYALS",1.03,IF(S398="TWINS",1,IF(S398="TIGERS",1,IF(S398="MARLINS",1.01,IF(S398="REDS",1.05,IF(S398="RED SOX",1.04,IF(S398="YANKEES",1.02,IF(S398="DODGERS",0.99,IF(S398="PADRES",0.96,IF(S398="CUBS",0.98,IF(S398="GIANTS",0.97,IF(S398="MARINERS",0.94,IF(S398="RANGERS",1,IF(S398="ASTROS",0.99,IF(S398="BRAVES",1,IF(S398="METS",0.96,IF(S398="PHILLIES",1.02,IF(S398="BLUE JAYS",1.01,IF(S398="ORIOLES",0.99,IF(S398="RAYS",1.01,IF(S398="GUARDIANS",0.99,IF(S398="WHITE SOX",0.98,IF(S398="ANGELS",1.01,IF(S398="D-BACKS",1.01,IF(S398="BREWERS",0.99,IF(S398="CARDINALS",0.96,IF(S398="PIRATES",1.02,IF(S398="NATIONALS",1,1))))))))))))))))))))))))))))))*IF(W398="",1,(1+((W398-70)/10*0.035)))*IF(U398="DOME",1,IF(U398="IN",1-(V398*0.01),IF(U398="OUT",1+(V398*0.01),IF(OR(U398="L-R",U398="R-L"),1+(V398*0.005),1))))</f>
        <v/>
      </c>
      <c r="U398" t="inlineStr">
        <is>
          <t>IN</t>
        </is>
      </c>
      <c r="V398" t="n">
        <v>6</v>
      </c>
      <c r="W398" t="n">
        <v>68</v>
      </c>
      <c r="Y398">
        <f>B398 &amp; " vs. " &amp; H398</f>
        <v/>
      </c>
      <c r="Z398">
        <f>TRIM(LEFT(Y398, FIND("vs.", Y398)-1))</f>
        <v/>
      </c>
      <c r="AA398">
        <f>TRIM(MID(Y398, FIND(" vs. ", Y398)+4, 100))</f>
        <v/>
      </c>
      <c r="AB398" s="35">
        <f>IF(Q398 &gt; VALUE(AC398), "O " &amp; AC398, IF(Q398 &lt; VALUE(AC398), "U " &amp; AC398, AC398))</f>
        <v/>
      </c>
      <c r="AC398" s="15">
        <f>IF(OR(O398="-", P398="-"), "-", MROUND(O398 + P398, 0.5))</f>
        <v/>
      </c>
      <c r="AD398" s="15">
        <f>VALUE(TRIM(RIGHT(AF398, LEN(AF398) - FIND(" ", AF398))))</f>
        <v/>
      </c>
      <c r="AE398" s="15">
        <f>LEFT(AF398,FIND(" ",AF398)-1)</f>
        <v/>
      </c>
      <c r="AF398" s="15">
        <f>IF(OR(O398="-", P398="-"), "-",
IF(MROUND(ABS(O398-P398),0.5)&lt;=0.5,
IF(O398&gt;P398, B398 &amp; " ML", H398 &amp; " ML"),
IF(MROUND(ABS(O398-P398),0.5)=1,
IF(O398&gt;P398, H398 &amp; " +1.5", B398 &amp; " +1.5"),
IF(O398&gt;P398, B398 &amp; " -1.5", H398 &amp; " -1.5")
)
)
)</f>
        <v/>
      </c>
      <c r="AG398" s="15">
        <f>_xlfn.LET(
_xlpm.winA, O398^1.83 / (O398^1.83 + P398^1.83),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399">
      <c r="A399" s="81" t="n">
        <v>46126</v>
      </c>
      <c r="B399" t="inlineStr">
        <is>
          <t>RAYS</t>
        </is>
      </c>
      <c r="C399">
        <f>VLOOKUP(B399, 'MLB Data'!$B$5:$D$34, 3, FALSE)</f>
        <v/>
      </c>
      <c r="D399" t="inlineStr">
        <is>
          <t>SHANE MCCLANAHAN</t>
        </is>
      </c>
      <c r="E399" t="n">
        <v>4.79</v>
      </c>
      <c r="F399" s="17">
        <f>VLOOKUP(B399, 'MLB Data'!$F$2:$H$34, 3, FALSE)</f>
        <v/>
      </c>
      <c r="G399" s="17">
        <f>IF((E399*0.6+F399*0.4)&lt;2.5, 2.8, IF((E399*0.6+F399*0.4)&gt;5.5, 5.2, (E399*0.6+F399*0.4)))</f>
        <v/>
      </c>
      <c r="H399" t="inlineStr">
        <is>
          <t>WHITE SOX</t>
        </is>
      </c>
      <c r="I399">
        <f>VLOOKUP(H399, 'MLB Data'!$B$5:$D$34, 3, FALSE)</f>
        <v/>
      </c>
      <c r="J399" t="inlineStr">
        <is>
          <t>NOAH SCHULTZ</t>
        </is>
      </c>
      <c r="K399" t="n">
        <v>3.97</v>
      </c>
      <c r="L399" s="17">
        <f>VLOOKUP(H399, 'MLB Data'!$F$2:$H$34, 3, FALSE)</f>
        <v/>
      </c>
      <c r="M399" s="17">
        <f>IF((K399*0.6+L399*0.4)&lt;2.5, 2.8, IF((K399*0.6+L399*0.4)&gt;5.5, 5.2, (K399*0.6+L399*0.4)))</f>
        <v/>
      </c>
      <c r="O399" s="18">
        <f>(C399/100) * 4.1 * (M399 / 4.2) * T399</f>
        <v/>
      </c>
      <c r="P399" s="18">
        <f>(I399/100) * 4.05 * (G399 / 4.2) * T399</f>
        <v/>
      </c>
      <c r="Q399" s="18">
        <f>(O399+P399)</f>
        <v/>
      </c>
      <c r="S399" s="15">
        <f>H399</f>
        <v/>
      </c>
      <c r="T399" s="19">
        <f>IF(S399="ROCKIES",1.13,IF(S399="ATHLETICS",1.03,IF(S399="ROYALS",1.03,IF(S399="TWINS",1,IF(S399="TIGERS",1,IF(S399="MARLINS",1.01,IF(S399="REDS",1.05,IF(S399="RED SOX",1.04,IF(S399="YANKEES",1.02,IF(S399="DODGERS",0.99,IF(S399="PADRES",0.96,IF(S399="CUBS",0.98,IF(S399="GIANTS",0.97,IF(S399="MARINERS",0.94,IF(S399="RANGERS",1,IF(S399="ASTROS",0.99,IF(S399="BRAVES",1,IF(S399="METS",0.96,IF(S399="PHILLIES",1.02,IF(S399="BLUE JAYS",1.01,IF(S399="ORIOLES",0.99,IF(S399="RAYS",1.01,IF(S399="GUARDIANS",0.99,IF(S399="WHITE SOX",0.98,IF(S399="ANGELS",1.01,IF(S399="D-BACKS",1.01,IF(S399="BREWERS",0.99,IF(S399="CARDINALS",0.96,IF(S399="PIRATES",1.02,IF(S399="NATIONALS",1,1))))))))))))))))))))))))))))))*IF(W399="",1,(1+((W399-70)/10*0.035)))*IF(U399="DOME",1,IF(U399="IN",1-(V399*0.01),IF(U399="OUT",1+(V399*0.01),IF(OR(U399="L-R",U399="R-L"),1+(V399*0.005),1))))</f>
        <v/>
      </c>
      <c r="U399" t="inlineStr">
        <is>
          <t>OUT</t>
        </is>
      </c>
      <c r="V399" t="n">
        <v>12</v>
      </c>
      <c r="W399" t="n">
        <v>72</v>
      </c>
      <c r="Y399">
        <f>B399 &amp; " vs. " &amp; H399</f>
        <v/>
      </c>
      <c r="Z399">
        <f>TRIM(LEFT(Y399, FIND("vs.", Y399)-1))</f>
        <v/>
      </c>
      <c r="AA399">
        <f>TRIM(MID(Y399, FIND(" vs. ", Y399)+4, 100))</f>
        <v/>
      </c>
      <c r="AB399" s="35">
        <f>IF(Q399 &gt; VALUE(AC399), "O " &amp; AC399, IF(Q399 &lt; VALUE(AC399), "U " &amp; AC399, AC399))</f>
        <v/>
      </c>
      <c r="AC399" s="15">
        <f>IF(OR(O399="-", P399="-"), "-", MROUND(O399 + P399, 0.5))</f>
        <v/>
      </c>
      <c r="AD399" s="15">
        <f>VALUE(TRIM(RIGHT(AF399, LEN(AF399) - FIND(" ", AF399))))</f>
        <v/>
      </c>
      <c r="AE399" s="15">
        <f>LEFT(AF399,FIND(" ",AF399)-1)</f>
        <v/>
      </c>
      <c r="AF399" s="15">
        <f>IF(OR(O399="-", P399="-"), "-",
IF(MROUND(ABS(O399-P399),0.5)&lt;=0.5,
IF(O399&gt;P399, B399 &amp; " ML", H399 &amp; " ML"),
IF(MROUND(ABS(O399-P399),0.5)=1,
IF(O399&gt;P399, H399 &amp; " +1.5", B399 &amp; " +1.5"),
IF(O399&gt;P399, B399 &amp; " -1.5", H399 &amp; " -1.5")
)
)
)</f>
        <v/>
      </c>
      <c r="AG399" s="15">
        <f>_xlfn.LET(
_xlpm.winA, O399^1.83 / (O399^1.83 + P399^1.83),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00">
      <c r="A400" s="81" t="n">
        <v>46126</v>
      </c>
      <c r="B400" t="inlineStr">
        <is>
          <t>BLUE JAYS</t>
        </is>
      </c>
      <c r="C400">
        <f>VLOOKUP(B400, 'MLB Data'!$B$5:$D$34, 3, FALSE)</f>
        <v/>
      </c>
      <c r="D400" t="inlineStr">
        <is>
          <t>KEVIN GAUSMAN</t>
        </is>
      </c>
      <c r="E400" t="n">
        <v>3.29</v>
      </c>
      <c r="F400" s="17">
        <f>VLOOKUP(B400, 'MLB Data'!$F$2:$H$34, 3, FALSE)</f>
        <v/>
      </c>
      <c r="G400" s="17">
        <f>IF((E400*0.6+F400*0.4)&lt;2.5, 2.8, IF((E400*0.6+F400*0.4)&gt;5.5, 5.2, (E400*0.6+F400*0.4)))</f>
        <v/>
      </c>
      <c r="H400" t="inlineStr">
        <is>
          <t>BREWERS</t>
        </is>
      </c>
      <c r="I400">
        <f>VLOOKUP(H400, 'MLB Data'!$B$5:$D$34, 3, FALSE)</f>
        <v/>
      </c>
      <c r="J400" t="inlineStr">
        <is>
          <t>JACOB MISIOROWSKI</t>
        </is>
      </c>
      <c r="K400" t="n">
        <v>3.37</v>
      </c>
      <c r="L400" s="17">
        <f>VLOOKUP(H400, 'MLB Data'!$F$2:$H$34, 3, FALSE)</f>
        <v/>
      </c>
      <c r="M400" s="17">
        <f>IF((K400*0.6+L400*0.4)&lt;2.5, 2.8, IF((K400*0.6+L400*0.4)&gt;5.5, 5.2, (K400*0.6+L400*0.4)))</f>
        <v/>
      </c>
      <c r="O400" s="18">
        <f>(C400/100) * 4.1 * (M400 / 4.2) * T400</f>
        <v/>
      </c>
      <c r="P400" s="18">
        <f>(I400/100) * 4.05 * (G400 / 4.2) * T400</f>
        <v/>
      </c>
      <c r="Q400" s="18">
        <f>(O400+P400)</f>
        <v/>
      </c>
      <c r="S400" s="15">
        <f>H400</f>
        <v/>
      </c>
      <c r="T400" s="19">
        <f>IF(S400="ROCKIES",1.13,IF(S400="ATHLETICS",1.03,IF(S400="ROYALS",1.03,IF(S400="TWINS",1,IF(S400="TIGERS",1,IF(S400="MARLINS",1.01,IF(S400="REDS",1.05,IF(S400="RED SOX",1.04,IF(S400="YANKEES",1.02,IF(S400="DODGERS",0.99,IF(S400="PADRES",0.96,IF(S400="CUBS",0.98,IF(S400="GIANTS",0.97,IF(S400="MARINERS",0.94,IF(S400="RANGERS",1,IF(S400="ASTROS",0.99,IF(S400="BRAVES",1,IF(S400="METS",0.96,IF(S400="PHILLIES",1.02,IF(S400="BLUE JAYS",1.01,IF(S400="ORIOLES",0.99,IF(S400="RAYS",1.01,IF(S400="GUARDIANS",0.99,IF(S400="WHITE SOX",0.98,IF(S400="ANGELS",1.01,IF(S400="D-BACKS",1.01,IF(S400="BREWERS",0.99,IF(S400="CARDINALS",0.96,IF(S400="PIRATES",1.02,IF(S400="NATIONALS",1,1))))))))))))))))))))))))))))))*IF(W400="",1,(1+((W400-70)/10*0.035)))*IF(U400="DOME",1,IF(U400="IN",1-(V400*0.01),IF(U400="OUT",1+(V400*0.01),IF(OR(U400="L-R",U400="R-L"),1+(V400*0.005),1))))</f>
        <v/>
      </c>
      <c r="U400" t="inlineStr">
        <is>
          <t>DOME</t>
        </is>
      </c>
      <c r="V400" t="n">
        <v>0</v>
      </c>
      <c r="Y400">
        <f>B400 &amp; " vs. " &amp; H400</f>
        <v/>
      </c>
      <c r="Z400">
        <f>TRIM(LEFT(Y400, FIND("vs.", Y400)-1))</f>
        <v/>
      </c>
      <c r="AA400">
        <f>TRIM(MID(Y400, FIND(" vs. ", Y400)+4, 100))</f>
        <v/>
      </c>
      <c r="AB400" s="35">
        <f>IF(Q400 &gt; VALUE(AC400), "O " &amp; AC400, IF(Q400 &lt; VALUE(AC400), "U " &amp; AC400, AC400))</f>
        <v/>
      </c>
      <c r="AC400" s="15">
        <f>IF(OR(O400="-", P400="-"), "-", MROUND(O400 + P400, 0.5))</f>
        <v/>
      </c>
      <c r="AD400" s="15">
        <f>VALUE(TRIM(RIGHT(AF400, LEN(AF400) - FIND(" ", AF400))))</f>
        <v/>
      </c>
      <c r="AE400" s="15">
        <f>LEFT(AF400,FIND(" ",AF400)-1)</f>
        <v/>
      </c>
      <c r="AF400" s="15">
        <f>IF(OR(O400="-", P400="-"), "-",
IF(MROUND(ABS(O400-P400),0.5)&lt;=0.5,
IF(O400&gt;P400, B400 &amp; " ML", H400 &amp; " ML"),
IF(MROUND(ABS(O400-P400),0.5)=1,
IF(O400&gt;P400, H400 &amp; " +1.5", B400 &amp; " +1.5"),
IF(O400&gt;P400, B400 &amp; " -1.5", H400 &amp; " -1.5")
)
)
)</f>
        <v/>
      </c>
      <c r="AG400" s="15">
        <f>_xlfn.LET(
_xlpm.winA, O400^1.83 / (O400^1.83 + P400^1.83),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01">
      <c r="A401" s="81" t="n">
        <v>46126</v>
      </c>
      <c r="B401" t="inlineStr">
        <is>
          <t>GUARDIANS</t>
        </is>
      </c>
      <c r="C401">
        <f>VLOOKUP(B401, 'MLB Data'!$B$5:$D$34, 3, FALSE)</f>
        <v/>
      </c>
      <c r="D401" t="inlineStr">
        <is>
          <t>JOEY CANTILLO</t>
        </is>
      </c>
      <c r="E401" t="n">
        <v>3.68</v>
      </c>
      <c r="F401" s="17">
        <f>VLOOKUP(B401, 'MLB Data'!$F$2:$H$34, 3, FALSE)</f>
        <v/>
      </c>
      <c r="G401" s="17">
        <f>IF((E401*0.6+F401*0.4)&lt;2.5, 2.8, IF((E401*0.6+F401*0.4)&gt;5.5, 5.2, (E401*0.6+F401*0.4)))</f>
        <v/>
      </c>
      <c r="H401" t="inlineStr">
        <is>
          <t>CARDINALS</t>
        </is>
      </c>
      <c r="I401">
        <f>VLOOKUP(H401, 'MLB Data'!$B$5:$D$34, 3, FALSE)</f>
        <v/>
      </c>
      <c r="J401" t="inlineStr">
        <is>
          <t>MICHAEL MCGREEVY</t>
        </is>
      </c>
      <c r="K401" t="n">
        <v>4.31</v>
      </c>
      <c r="L401" s="17">
        <f>VLOOKUP(H401, 'MLB Data'!$F$2:$H$34, 3, FALSE)</f>
        <v/>
      </c>
      <c r="M401" s="17">
        <f>IF((K401*0.6+L401*0.4)&lt;2.5, 2.8, IF((K401*0.6+L401*0.4)&gt;5.5, 5.2, (K401*0.6+L401*0.4)))</f>
        <v/>
      </c>
      <c r="O401" s="18">
        <f>(C401/100) * 4.1 * (M401 / 4.2) * T401</f>
        <v/>
      </c>
      <c r="P401" s="18">
        <f>(I401/100) * 4.05 * (G401 / 4.2) * T401</f>
        <v/>
      </c>
      <c r="Q401" s="18">
        <f>(O401+P401)</f>
        <v/>
      </c>
      <c r="S401" s="15">
        <f>H401</f>
        <v/>
      </c>
      <c r="T401" s="19">
        <f>IF(S401="ROCKIES",1.13,IF(S401="ATHLETICS",1.03,IF(S401="ROYALS",1.03,IF(S401="TWINS",1,IF(S401="TIGERS",1,IF(S401="MARLINS",1.01,IF(S401="REDS",1.05,IF(S401="RED SOX",1.04,IF(S401="YANKEES",1.02,IF(S401="DODGERS",0.99,IF(S401="PADRES",0.96,IF(S401="CUBS",0.98,IF(S401="GIANTS",0.97,IF(S401="MARINERS",0.94,IF(S401="RANGERS",1,IF(S401="ASTROS",0.99,IF(S401="BRAVES",1,IF(S401="METS",0.96,IF(S401="PHILLIES",1.02,IF(S401="BLUE JAYS",1.01,IF(S401="ORIOLES",0.99,IF(S401="RAYS",1.01,IF(S401="GUARDIANS",0.99,IF(S401="WHITE SOX",0.98,IF(S401="ANGELS",1.01,IF(S401="D-BACKS",1.01,IF(S401="BREWERS",0.99,IF(S401="CARDINALS",0.96,IF(S401="PIRATES",1.02,IF(S401="NATIONALS",1,1))))))))))))))))))))))))))))))*IF(W401="",1,(1+((W401-70)/10*0.035)))*IF(U401="DOME",1,IF(U401="IN",1-(V401*0.01),IF(U401="OUT",1+(V401*0.01),IF(OR(U401="L-R",U401="R-L"),1+(V401*0.005),1))))</f>
        <v/>
      </c>
      <c r="U401" t="inlineStr">
        <is>
          <t>OUT</t>
        </is>
      </c>
      <c r="V401" t="n">
        <v>15</v>
      </c>
      <c r="W401" t="n">
        <v>90</v>
      </c>
      <c r="Y401">
        <f>B401 &amp; " vs. " &amp; H401</f>
        <v/>
      </c>
      <c r="Z401">
        <f>TRIM(LEFT(Y401, FIND("vs.", Y401)-1))</f>
        <v/>
      </c>
      <c r="AA401">
        <f>TRIM(MID(Y401, FIND(" vs. ", Y401)+4, 100))</f>
        <v/>
      </c>
      <c r="AB401" s="35">
        <f>IF(Q401 &gt; VALUE(AC401), "O " &amp; AC401, IF(Q401 &lt; VALUE(AC401), "U " &amp; AC401, AC401))</f>
        <v/>
      </c>
      <c r="AC401" s="15">
        <f>IF(OR(O401="-", P401="-"), "-", MROUND(O401 + P401, 0.5))</f>
        <v/>
      </c>
      <c r="AD401" s="15">
        <f>VALUE(TRIM(RIGHT(AF401, LEN(AF401) - FIND(" ", AF401))))</f>
        <v/>
      </c>
      <c r="AE401" s="15">
        <f>LEFT(AF401,FIND(" ",AF401)-1)</f>
        <v/>
      </c>
      <c r="AF401" s="15">
        <f>IF(OR(O401="-", P401="-"), "-",
IF(MROUND(ABS(O401-P401),0.5)&lt;=0.5,
IF(O401&gt;P401, B401 &amp; " ML", H401 &amp; " ML"),
IF(MROUND(ABS(O401-P401),0.5)=1,
IF(O401&gt;P401, H401 &amp; " +1.5", B401 &amp; " +1.5"),
IF(O401&gt;P401, B401 &amp; " -1.5", H401 &amp; " -1.5")
)
)
)</f>
        <v/>
      </c>
      <c r="AG401" s="15">
        <f>_xlfn.LET(
_xlpm.winA, O401^1.83 / (O401^1.83 + P401^1.83),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02">
      <c r="A402" s="81" t="n">
        <v>46126</v>
      </c>
      <c r="B402" t="inlineStr">
        <is>
          <t>ROCKIES</t>
        </is>
      </c>
      <c r="C402">
        <f>VLOOKUP(B402, 'MLB Data'!$B$5:$D$34, 3, FALSE)</f>
        <v/>
      </c>
      <c r="D402" t="inlineStr">
        <is>
          <t>TBD</t>
        </is>
      </c>
      <c r="F402" s="17">
        <f>VLOOKUP(B402, 'MLB Data'!$F$2:$H$34, 3, FALSE)</f>
        <v/>
      </c>
      <c r="G402" s="17">
        <f>IF((E402*0.6+F402*0.4)&lt;2.5, 2.8, IF((E402*0.6+F402*0.4)&gt;5.5, 5.2, (E402*0.6+F402*0.4)))</f>
        <v/>
      </c>
      <c r="H402" t="inlineStr">
        <is>
          <t>ASTROS</t>
        </is>
      </c>
      <c r="I402">
        <f>VLOOKUP(H402, 'MLB Data'!$B$5:$D$34, 3, FALSE)</f>
        <v/>
      </c>
      <c r="J402" t="inlineStr">
        <is>
          <t>COLTON GORDON</t>
        </is>
      </c>
      <c r="K402" t="n">
        <v>4.24</v>
      </c>
      <c r="L402" s="17">
        <f>VLOOKUP(H402, 'MLB Data'!$F$2:$H$34, 3, FALSE)</f>
        <v/>
      </c>
      <c r="M402" s="17">
        <f>IF((K402*0.6+L402*0.4)&lt;2.5, 2.8, IF((K402*0.6+L402*0.4)&gt;5.5, 5.2, (K402*0.6+L402*0.4)))</f>
        <v/>
      </c>
      <c r="O402" s="18">
        <f>(C402/100) * 4.1 * (M402 / 4.2) * T402</f>
        <v/>
      </c>
      <c r="P402" s="18">
        <f>(I402/100) * 4.05 * (G402 / 4.2) * T402</f>
        <v/>
      </c>
      <c r="Q402" s="18">
        <f>(O402+P402)</f>
        <v/>
      </c>
      <c r="S402" s="15">
        <f>H402</f>
        <v/>
      </c>
      <c r="T402" s="19">
        <f>IF(S402="ROCKIES",1.13,IF(S402="ATHLETICS",1.03,IF(S402="ROYALS",1.03,IF(S402="TWINS",1,IF(S402="TIGERS",1,IF(S402="MARLINS",1.01,IF(S402="REDS",1.05,IF(S402="RED SOX",1.04,IF(S402="YANKEES",1.02,IF(S402="DODGERS",0.99,IF(S402="PADRES",0.96,IF(S402="CUBS",0.98,IF(S402="GIANTS",0.97,IF(S402="MARINERS",0.94,IF(S402="RANGERS",1,IF(S402="ASTROS",0.99,IF(S402="BRAVES",1,IF(S402="METS",0.96,IF(S402="PHILLIES",1.02,IF(S402="BLUE JAYS",1.01,IF(S402="ORIOLES",0.99,IF(S402="RAYS",1.01,IF(S402="GUARDIANS",0.99,IF(S402="WHITE SOX",0.98,IF(S402="ANGELS",1.01,IF(S402="D-BACKS",1.01,IF(S402="BREWERS",0.99,IF(S402="CARDINALS",0.96,IF(S402="PIRATES",1.02,IF(S402="NATIONALS",1,1))))))))))))))))))))))))))))))*IF(W402="",1,(1+((W402-70)/10*0.035)))*IF(U402="DOME",1,IF(U402="IN",1-(V402*0.01),IF(U402="OUT",1+(V402*0.01),IF(OR(U402="L-R",U402="R-L"),1+(V402*0.005),1))))</f>
        <v/>
      </c>
      <c r="U402" t="inlineStr">
        <is>
          <t>DOME</t>
        </is>
      </c>
      <c r="V402" t="n">
        <v>0</v>
      </c>
      <c r="Y402">
        <f>B402 &amp; " vs. " &amp; H402</f>
        <v/>
      </c>
      <c r="Z402">
        <f>TRIM(LEFT(Y402, FIND("vs.", Y402)-1))</f>
        <v/>
      </c>
      <c r="AA402">
        <f>TRIM(MID(Y402, FIND(" vs. ", Y402)+4, 100))</f>
        <v/>
      </c>
      <c r="AB402" s="35">
        <f>IF(Q402 &gt; VALUE(AC402), "O " &amp; AC402, IF(Q402 &lt; VALUE(AC402), "U " &amp; AC402, AC402))</f>
        <v/>
      </c>
      <c r="AC402" s="15">
        <f>IF(OR(O402="-", P402="-"), "-", MROUND(O402 + P402, 0.5))</f>
        <v/>
      </c>
      <c r="AD402" s="15">
        <f>VALUE(TRIM(RIGHT(AF402, LEN(AF402) - FIND(" ", AF402))))</f>
        <v/>
      </c>
      <c r="AE402" s="15">
        <f>LEFT(AF402,FIND(" ",AF402)-1)</f>
        <v/>
      </c>
      <c r="AF402" s="15">
        <f>IF(OR(O402="-", P402="-"), "-",
IF(MROUND(ABS(O402-P402),0.5)&lt;=0.5,
IF(O402&gt;P402, B402 &amp; " ML", H402 &amp; " ML"),
IF(MROUND(ABS(O402-P402),0.5)=1,
IF(O402&gt;P402, H402 &amp; " +1.5", B402 &amp; " +1.5"),
IF(O402&gt;P402, B402 &amp; " -1.5", H402 &amp; " -1.5")
)
)
)</f>
        <v/>
      </c>
      <c r="AG402" s="15">
        <f>_xlfn.LET(
_xlpm.winA, O402^1.83 / (O402^1.83 + P402^1.83),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03">
      <c r="A403" s="81" t="n">
        <v>46126</v>
      </c>
      <c r="B403" t="inlineStr">
        <is>
          <t>MARINERS</t>
        </is>
      </c>
      <c r="C403">
        <f>VLOOKUP(B403, 'MLB Data'!$B$5:$D$34, 3, FALSE)</f>
        <v/>
      </c>
      <c r="D403" t="inlineStr">
        <is>
          <t>BRYAN WOO</t>
        </is>
      </c>
      <c r="E403" t="n">
        <v>3.53</v>
      </c>
      <c r="F403" s="17">
        <f>VLOOKUP(B403, 'MLB Data'!$F$2:$H$34, 3, FALSE)</f>
        <v/>
      </c>
      <c r="G403" s="17">
        <f>IF((E403*0.6+F403*0.4)&lt;2.5, 2.8, IF((E403*0.6+F403*0.4)&gt;5.5, 5.2, (E403*0.6+F403*0.4)))</f>
        <v/>
      </c>
      <c r="H403" t="inlineStr">
        <is>
          <t>PADRES</t>
        </is>
      </c>
      <c r="I403">
        <f>VLOOKUP(H403, 'MLB Data'!$B$5:$D$34, 3, FALSE)</f>
        <v/>
      </c>
      <c r="J403" t="inlineStr">
        <is>
          <t>MICHAEL KING</t>
        </is>
      </c>
      <c r="K403" t="n">
        <v>4.25</v>
      </c>
      <c r="L403" s="17">
        <f>VLOOKUP(H403, 'MLB Data'!$F$2:$H$34, 3, FALSE)</f>
        <v/>
      </c>
      <c r="M403" s="17">
        <f>IF((K403*0.6+L403*0.4)&lt;2.5, 2.8, IF((K403*0.6+L403*0.4)&gt;5.5, 5.2, (K403*0.6+L403*0.4)))</f>
        <v/>
      </c>
      <c r="O403" s="18">
        <f>(C403/100) * 4.1 * (M403 / 4.2) * T403</f>
        <v/>
      </c>
      <c r="P403" s="18">
        <f>(I403/100) * 4.05 * (G403 / 4.2) * T403</f>
        <v/>
      </c>
      <c r="Q403" s="18">
        <f>(O403+P403)</f>
        <v/>
      </c>
      <c r="S403" s="15">
        <f>H403</f>
        <v/>
      </c>
      <c r="T403" s="19">
        <f>IF(S403="ROCKIES",1.13,IF(S403="ATHLETICS",1.03,IF(S403="ROYALS",1.03,IF(S403="TWINS",1,IF(S403="TIGERS",1,IF(S403="MARLINS",1.01,IF(S403="REDS",1.05,IF(S403="RED SOX",1.04,IF(S403="YANKEES",1.02,IF(S403="DODGERS",0.99,IF(S403="PADRES",0.96,IF(S403="CUBS",0.98,IF(S403="GIANTS",0.97,IF(S403="MARINERS",0.94,IF(S403="RANGERS",1,IF(S403="ASTROS",0.99,IF(S403="BRAVES",1,IF(S403="METS",0.96,IF(S403="PHILLIES",1.02,IF(S403="BLUE JAYS",1.01,IF(S403="ORIOLES",0.99,IF(S403="RAYS",1.01,IF(S403="GUARDIANS",0.99,IF(S403="WHITE SOX",0.98,IF(S403="ANGELS",1.01,IF(S403="D-BACKS",1.01,IF(S403="BREWERS",0.99,IF(S403="CARDINALS",0.96,IF(S403="PIRATES",1.02,IF(S403="NATIONALS",1,1))))))))))))))))))))))))))))))*IF(W403="",1,(1+((W403-70)/10*0.035)))*IF(U403="DOME",1,IF(U403="IN",1-(V403*0.01),IF(U403="OUT",1+(V403*0.01),IF(OR(U403="L-R",U403="R-L"),1+(V403*0.005),1))))</f>
        <v/>
      </c>
      <c r="U403" t="inlineStr">
        <is>
          <t>IN</t>
        </is>
      </c>
      <c r="V403" t="n">
        <v>11</v>
      </c>
      <c r="W403" t="n">
        <v>69</v>
      </c>
      <c r="Y403">
        <f>B403 &amp; " vs. " &amp; H403</f>
        <v/>
      </c>
      <c r="Z403">
        <f>TRIM(LEFT(Y403, FIND("vs.", Y403)-1))</f>
        <v/>
      </c>
      <c r="AA403">
        <f>TRIM(MID(Y403, FIND(" vs. ", Y403)+4, 100))</f>
        <v/>
      </c>
      <c r="AB403" s="35">
        <f>IF(Q403 &gt; VALUE(AC403), "O " &amp; AC403, IF(Q403 &lt; VALUE(AC403), "U " &amp; AC403, AC403))</f>
        <v/>
      </c>
      <c r="AC403" s="15">
        <f>IF(OR(O403="-", P403="-"), "-", MROUND(O403 + P403, 0.5))</f>
        <v/>
      </c>
      <c r="AD403" s="15">
        <f>VALUE(TRIM(RIGHT(AF403, LEN(AF403) - FIND(" ", AF403))))</f>
        <v/>
      </c>
      <c r="AE403" s="15">
        <f>LEFT(AF403,FIND(" ",AF403)-1)</f>
        <v/>
      </c>
      <c r="AF403" s="15">
        <f>IF(OR(O403="-", P403="-"), "-",
IF(MROUND(ABS(O403-P403),0.5)&lt;=0.5,
IF(O403&gt;P403, B403 &amp; " ML", H403 &amp; " ML"),
IF(MROUND(ABS(O403-P403),0.5)=1,
IF(O403&gt;P403, H403 &amp; " +1.5", B403 &amp; " +1.5"),
IF(O403&gt;P403, B403 &amp; " -1.5", H403 &amp; " -1.5")
)
)
)</f>
        <v/>
      </c>
      <c r="AG403" s="15">
        <f>_xlfn.LET(
_xlpm.winA, O403^1.83 / (O403^1.83 + P403^1.83),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04">
      <c r="A404" s="81" t="n">
        <v>46126</v>
      </c>
      <c r="B404" t="inlineStr">
        <is>
          <t>RANGERS</t>
        </is>
      </c>
      <c r="C404">
        <f>VLOOKUP(B404, 'MLB Data'!$B$5:$D$34, 3, FALSE)</f>
        <v/>
      </c>
      <c r="D404" t="inlineStr">
        <is>
          <t>MACKENZIE GORE</t>
        </is>
      </c>
      <c r="E404" t="n">
        <v>3.45</v>
      </c>
      <c r="F404" s="17">
        <f>VLOOKUP(B404, 'MLB Data'!$F$2:$H$34, 3, FALSE)</f>
        <v/>
      </c>
      <c r="G404" s="17">
        <f>IF((E404*0.6+F404*0.4)&lt;2.5, 2.8, IF((E404*0.6+F404*0.4)&gt;5.5, 5.2, (E404*0.6+F404*0.4)))</f>
        <v/>
      </c>
      <c r="H404" t="inlineStr">
        <is>
          <t>ATHLETICS</t>
        </is>
      </c>
      <c r="I404">
        <f>VLOOKUP(H404, 'MLB Data'!$B$5:$D$34, 3, FALSE)</f>
        <v/>
      </c>
      <c r="J404" t="inlineStr">
        <is>
          <t>JEFFREY SPRINGS</t>
        </is>
      </c>
      <c r="K404" t="n">
        <v>4.63</v>
      </c>
      <c r="L404" s="17">
        <f>VLOOKUP(H404, 'MLB Data'!$F$2:$H$34, 3, FALSE)</f>
        <v/>
      </c>
      <c r="M404" s="17">
        <f>IF((K404*0.6+L404*0.4)&lt;2.5, 2.8, IF((K404*0.6+L404*0.4)&gt;5.5, 5.2, (K404*0.6+L404*0.4)))</f>
        <v/>
      </c>
      <c r="O404" s="18">
        <f>(C404/100) * 4.1 * (M404 / 4.2) * T404</f>
        <v/>
      </c>
      <c r="P404" s="18">
        <f>(I404/100) * 4.05 * (G404 / 4.2) * T404</f>
        <v/>
      </c>
      <c r="Q404" s="18">
        <f>(O404+P404)</f>
        <v/>
      </c>
      <c r="S404" s="15">
        <f>H404</f>
        <v/>
      </c>
      <c r="T404" s="19">
        <f>IF(S404="ROCKIES",1.13,IF(S404="ATHLETICS",1.03,IF(S404="ROYALS",1.03,IF(S404="TWINS",1,IF(S404="TIGERS",1,IF(S404="MARLINS",1.01,IF(S404="REDS",1.05,IF(S404="RED SOX",1.04,IF(S404="YANKEES",1.02,IF(S404="DODGERS",0.99,IF(S404="PADRES",0.96,IF(S404="CUBS",0.98,IF(S404="GIANTS",0.97,IF(S404="MARINERS",0.94,IF(S404="RANGERS",1,IF(S404="ASTROS",0.99,IF(S404="BRAVES",1,IF(S404="METS",0.96,IF(S404="PHILLIES",1.02,IF(S404="BLUE JAYS",1.01,IF(S404="ORIOLES",0.99,IF(S404="RAYS",1.01,IF(S404="GUARDIANS",0.99,IF(S404="WHITE SOX",0.98,IF(S404="ANGELS",1.01,IF(S404="D-BACKS",1.01,IF(S404="BREWERS",0.99,IF(S404="CARDINALS",0.96,IF(S404="PIRATES",1.02,IF(S404="NATIONALS",1,1))))))))))))))))))))))))))))))*IF(W404="",1,(1+((W404-70)/10*0.035)))*IF(U404="DOME",1,IF(U404="IN",1-(V404*0.01),IF(U404="OUT",1+(V404*0.01),IF(OR(U404="L-R",U404="R-L"),1+(V404*0.005),1))))</f>
        <v/>
      </c>
      <c r="U404" t="inlineStr">
        <is>
          <t>DOME</t>
        </is>
      </c>
      <c r="V404" t="n">
        <v>0</v>
      </c>
      <c r="Y404">
        <f>B404 &amp; " vs. " &amp; H404</f>
        <v/>
      </c>
      <c r="Z404">
        <f>TRIM(LEFT(Y404, FIND("vs.", Y404)-1))</f>
        <v/>
      </c>
      <c r="AA404">
        <f>TRIM(MID(Y404, FIND(" vs. ", Y404)+4, 100))</f>
        <v/>
      </c>
      <c r="AB404" s="35">
        <f>IF(Q404 &gt; VALUE(AC404), "O " &amp; AC404, IF(Q404 &lt; VALUE(AC404), "U " &amp; AC404, AC404))</f>
        <v/>
      </c>
      <c r="AC404" s="15">
        <f>IF(OR(O404="-", P404="-"), "-", MROUND(O404 + P404, 0.5))</f>
        <v/>
      </c>
      <c r="AD404" s="15">
        <f>VALUE(TRIM(RIGHT(AF404, LEN(AF404) - FIND(" ", AF404))))</f>
        <v/>
      </c>
      <c r="AE404" s="15">
        <f>LEFT(AF404,FIND(" ",AF404)-1)</f>
        <v/>
      </c>
      <c r="AF404" s="15">
        <f>IF(OR(O404="-", P404="-"), "-",
IF(MROUND(ABS(O404-P404),0.5)&lt;=0.5,
IF(O404&gt;P404, B404 &amp; " ML", H404 &amp; " ML"),
IF(MROUND(ABS(O404-P404),0.5)=1,
IF(O404&gt;P404, H404 &amp; " +1.5", B404 &amp; " +1.5"),
IF(O404&gt;P404, B404 &amp; " -1.5", H404 &amp; " -1.5")
)
)
)</f>
        <v/>
      </c>
      <c r="AG404" s="15">
        <f>_xlfn.LET(
_xlpm.winA, O404^1.83 / (O404^1.83 + P404^1.83),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05">
      <c r="A405" s="81" t="n">
        <v>46126</v>
      </c>
      <c r="B405" t="inlineStr">
        <is>
          <t>METS</t>
        </is>
      </c>
      <c r="C405">
        <f>VLOOKUP(B405, 'MLB Data'!$B$5:$D$34, 3, FALSE)</f>
        <v/>
      </c>
      <c r="D405" t="inlineStr">
        <is>
          <t>NOLAN MCLEAN</t>
        </is>
      </c>
      <c r="E405" t="n">
        <v>2.85</v>
      </c>
      <c r="F405" s="17">
        <f>VLOOKUP(B405, 'MLB Data'!$F$2:$H$34, 3, FALSE)</f>
        <v/>
      </c>
      <c r="G405" s="17">
        <f>IF((E405*0.6+F405*0.4)&lt;2.5, 2.8, IF((E405*0.6+F405*0.4)&gt;5.5, 5.2, (E405*0.6+F405*0.4)))</f>
        <v/>
      </c>
      <c r="H405" t="inlineStr">
        <is>
          <t>DODGERS</t>
        </is>
      </c>
      <c r="I405">
        <f>VLOOKUP(H405, 'MLB Data'!$B$5:$D$34, 3, FALSE)</f>
        <v/>
      </c>
      <c r="J405" t="inlineStr">
        <is>
          <t>YOSHINOBU YAMAMOTO</t>
        </is>
      </c>
      <c r="K405" t="n">
        <v>3.23</v>
      </c>
      <c r="L405" s="17">
        <f>VLOOKUP(H405, 'MLB Data'!$F$2:$H$34, 3, FALSE)</f>
        <v/>
      </c>
      <c r="M405" s="17">
        <f>IF((K405*0.6+L405*0.4)&lt;2.5, 2.8, IF((K405*0.6+L405*0.4)&gt;5.5, 5.2, (K405*0.6+L405*0.4)))</f>
        <v/>
      </c>
      <c r="O405" s="18">
        <f>(C405/100) * 4.1 * (M405 / 4.2) * T405</f>
        <v/>
      </c>
      <c r="P405" s="18">
        <f>(I405/100) * 4.05 * (G405 / 4.2) * T405</f>
        <v/>
      </c>
      <c r="Q405" s="18">
        <f>(O405+P405)</f>
        <v/>
      </c>
      <c r="S405" s="15">
        <f>H405</f>
        <v/>
      </c>
      <c r="T405" s="19">
        <f>IF(S405="ROCKIES",1.13,IF(S405="ATHLETICS",1.03,IF(S405="ROYALS",1.03,IF(S405="TWINS",1,IF(S405="TIGERS",1,IF(S405="MARLINS",1.01,IF(S405="REDS",1.05,IF(S405="RED SOX",1.04,IF(S405="YANKEES",1.02,IF(S405="DODGERS",0.99,IF(S405="PADRES",0.96,IF(S405="CUBS",0.98,IF(S405="GIANTS",0.97,IF(S405="MARINERS",0.94,IF(S405="RANGERS",1,IF(S405="ASTROS",0.99,IF(S405="BRAVES",1,IF(S405="METS",0.96,IF(S405="PHILLIES",1.02,IF(S405="BLUE JAYS",1.01,IF(S405="ORIOLES",0.99,IF(S405="RAYS",1.01,IF(S405="GUARDIANS",0.99,IF(S405="WHITE SOX",0.98,IF(S405="ANGELS",1.01,IF(S405="D-BACKS",1.01,IF(S405="BREWERS",0.99,IF(S405="CARDINALS",0.96,IF(S405="PIRATES",1.02,IF(S405="NATIONALS",1,1))))))))))))))))))))))))))))))*IF(W405="",1,(1+((W405-70)/10*0.035)))*IF(U405="DOME",1,IF(U405="IN",1-(V405*0.01),IF(U405="OUT",1+(V405*0.01),IF(OR(U405="L-R",U405="R-L"),1+(V405*0.005),1))))</f>
        <v/>
      </c>
      <c r="U405" t="inlineStr">
        <is>
          <t>CROSS</t>
        </is>
      </c>
      <c r="V405" t="n">
        <v>11</v>
      </c>
      <c r="W405" t="n">
        <v>71</v>
      </c>
      <c r="Y405">
        <f>B405 &amp; " vs. " &amp; H405</f>
        <v/>
      </c>
      <c r="Z405">
        <f>TRIM(LEFT(Y405, FIND("vs.", Y405)-1))</f>
        <v/>
      </c>
      <c r="AA405">
        <f>TRIM(MID(Y405, FIND(" vs. ", Y405)+4, 100))</f>
        <v/>
      </c>
      <c r="AB405" s="35">
        <f>IF(Q405 &gt; VALUE(AC405), "O " &amp; AC405, IF(Q405 &lt; VALUE(AC405), "U " &amp; AC405, AC405))</f>
        <v/>
      </c>
      <c r="AC405" s="15">
        <f>IF(OR(O405="-", P405="-"), "-", MROUND(O405 + P405, 0.5))</f>
        <v/>
      </c>
      <c r="AD405" s="15">
        <f>VALUE(TRIM(RIGHT(AF405, LEN(AF405) - FIND(" ", AF405))))</f>
        <v/>
      </c>
      <c r="AE405" s="15">
        <f>LEFT(AF405,FIND(" ",AF405)-1)</f>
        <v/>
      </c>
      <c r="AF405" s="15">
        <f>IF(OR(O405="-", P405="-"), "-",
IF(MROUND(ABS(O405-P405),0.5)&lt;=0.5,
IF(O405&gt;P405, B405 &amp; " ML", H405 &amp; " ML"),
IF(MROUND(ABS(O405-P405),0.5)=1,
IF(O405&gt;P405, H405 &amp; " +1.5", B405 &amp; " +1.5"),
IF(O405&gt;P405, B405 &amp; " -1.5", H405 &amp; " -1.5")
)
)
)</f>
        <v/>
      </c>
      <c r="AG405" s="15">
        <f>_xlfn.LET(
_xlpm.winA, O405^1.83 / (O405^1.83 + P405^1.83),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06">
      <c r="A406" s="81" t="n">
        <v>46127</v>
      </c>
      <c r="B406" t="inlineStr">
        <is>
          <t>D-BACKS</t>
        </is>
      </c>
      <c r="C406">
        <f>VLOOKUP(B406, 'MLB Data'!$B$5:$D$34, 3, FALSE)</f>
        <v/>
      </c>
      <c r="D406" t="inlineStr">
        <is>
          <t>EDUARDO RODRIGUEZ</t>
        </is>
      </c>
      <c r="E406" t="n">
        <v>4.37</v>
      </c>
      <c r="F406" s="17">
        <f>VLOOKUP(B406, 'MLB Data'!$F$2:$H$34, 3, FALSE)</f>
        <v/>
      </c>
      <c r="G406" s="17">
        <f>IF((E406*0.6+F406*0.4)&lt;2.5, 2.8, IF((E406*0.6+F406*0.4)&gt;5.5, 5.2, (E406*0.6+F406*0.4)))</f>
        <v/>
      </c>
      <c r="H406" t="inlineStr">
        <is>
          <t>ORIOLES</t>
        </is>
      </c>
      <c r="I406">
        <f>VLOOKUP(H406, 'MLB Data'!$B$5:$D$34, 3, FALSE)</f>
        <v/>
      </c>
      <c r="J406" t="inlineStr">
        <is>
          <t>KYLE BRADISH</t>
        </is>
      </c>
      <c r="K406" t="n">
        <v>2.89</v>
      </c>
      <c r="L406" s="17">
        <f>VLOOKUP(H406, 'MLB Data'!$F$2:$H$34, 3, FALSE)</f>
        <v/>
      </c>
      <c r="M406" s="17">
        <f>IF((K406*0.6+L406*0.4)&lt;2.5, 2.8, IF((K406*0.6+L406*0.4)&gt;5.5, 5.2, (K406*0.6+L406*0.4)))</f>
        <v/>
      </c>
      <c r="O406" s="18">
        <f>(C406/100) * 4.1 * (M406 / 4.2) * T406</f>
        <v/>
      </c>
      <c r="P406" s="18">
        <f>(I406/100) * 4.05 * (G406 / 4.2) * T406</f>
        <v/>
      </c>
      <c r="Q406" s="18">
        <f>(O406+P406)</f>
        <v/>
      </c>
      <c r="S406" s="15">
        <f>H406</f>
        <v/>
      </c>
      <c r="T406" s="19">
        <f>IF(S406="ROCKIES",1.13,IF(S406="ATHLETICS",1.03,IF(S406="ROYALS",1.03,IF(S406="TWINS",1,IF(S406="TIGERS",1,IF(S406="MARLINS",1.01,IF(S406="REDS",1.05,IF(S406="RED SOX",1.04,IF(S406="YANKEES",1.02,IF(S406="DODGERS",0.99,IF(S406="PADRES",0.96,IF(S406="CUBS",0.98,IF(S406="GIANTS",0.97,IF(S406="MARINERS",0.94,IF(S406="RANGERS",1,IF(S406="ASTROS",0.99,IF(S406="BRAVES",1,IF(S406="METS",0.96,IF(S406="PHILLIES",1.02,IF(S406="BLUE JAYS",1.01,IF(S406="ORIOLES",0.99,IF(S406="RAYS",1.01,IF(S406="GUARDIANS",0.99,IF(S406="WHITE SOX",0.98,IF(S406="ANGELS",1.01,IF(S406="D-BACKS",1.01,IF(S406="BREWERS",0.99,IF(S406="CARDINALS",0.96,IF(S406="PIRATES",1.02,IF(S406="NATIONALS",1,1))))))))))))))))))))))))))))))*IF(W406="",1,(1+((W406-70)/10*0.035)))*IF(U406="DOME",1,IF(U406="IN",1-(V406*0.01),IF(U406="OUT",1+(V406*0.01),IF(OR(U406="L-R",U406="R-L"),1+(V406*0.005),1))))</f>
        <v/>
      </c>
      <c r="U406" t="inlineStr">
        <is>
          <t>CROSS</t>
        </is>
      </c>
      <c r="V406" t="n">
        <v>10</v>
      </c>
      <c r="W406" t="n">
        <v>88</v>
      </c>
      <c r="Y406">
        <f>B406 &amp; " vs. " &amp; H406</f>
        <v/>
      </c>
      <c r="Z406">
        <f>TRIM(LEFT(Y406, FIND("vs.", Y406)-1))</f>
        <v/>
      </c>
      <c r="AA406">
        <f>TRIM(MID(Y406, FIND(" vs. ", Y406)+4, 100))</f>
        <v/>
      </c>
      <c r="AB406" s="35">
        <f>IF(Q406 &gt; VALUE(AC406), "O " &amp; AC406, IF(Q406 &lt; VALUE(AC406), "U " &amp; AC406, AC406))</f>
        <v/>
      </c>
      <c r="AC406" s="15">
        <f>IF(OR(O406="-", P406="-"), "-", MROUND(O406 + P406, 0.5))</f>
        <v/>
      </c>
      <c r="AD406" s="15">
        <f>VALUE(TRIM(RIGHT(AF406, LEN(AF406) - FIND(" ", AF406))))</f>
        <v/>
      </c>
      <c r="AE406" s="15">
        <f>LEFT(AF406,FIND(" ",AF406)-1)</f>
        <v/>
      </c>
      <c r="AF406" s="15">
        <f>IF(OR(O406="-", P406="-"), "-",
IF(MROUND(ABS(O406-P406),0.5)&lt;=0.5,
IF(O406&gt;P406, B406 &amp; " ML", H406 &amp; " ML"),
IF(MROUND(ABS(O406-P406),0.5)=1,
IF(O406&gt;P406, H406 &amp; " +1.5", B406 &amp; " +1.5"),
IF(O406&gt;P406, B406 &amp; " -1.5", H406 &amp; " -1.5")
)
)
)</f>
        <v/>
      </c>
      <c r="AG406" s="15">
        <f>_xlfn.LET(
_xlpm.winA, O406^1.83 / (O406^1.83 + P406^1.83),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07">
      <c r="A407" s="81" t="n">
        <v>46127</v>
      </c>
      <c r="B407" t="inlineStr">
        <is>
          <t>GUARDIANS</t>
        </is>
      </c>
      <c r="C407">
        <f>VLOOKUP(B407, 'MLB Data'!$B$5:$D$34, 3, FALSE)</f>
        <v/>
      </c>
      <c r="D407" t="inlineStr">
        <is>
          <t>SLADE CECCONI</t>
        </is>
      </c>
      <c r="E407" t="n">
        <v>4.12</v>
      </c>
      <c r="F407" s="17">
        <f>VLOOKUP(B407, 'MLB Data'!$F$2:$H$34, 3, FALSE)</f>
        <v/>
      </c>
      <c r="G407" s="17">
        <f>IF((E407*0.6+F407*0.4)&lt;2.5, 2.8, IF((E407*0.6+F407*0.4)&gt;5.5, 5.2, (E407*0.6+F407*0.4)))</f>
        <v/>
      </c>
      <c r="H407" t="inlineStr">
        <is>
          <t>CARDINALS</t>
        </is>
      </c>
      <c r="I407">
        <f>VLOOKUP(H407, 'MLB Data'!$B$5:$D$34, 3, FALSE)</f>
        <v/>
      </c>
      <c r="J407" t="inlineStr">
        <is>
          <t>DUSTIN MAY</t>
        </is>
      </c>
      <c r="K407" t="n">
        <v>4.47</v>
      </c>
      <c r="L407" s="17">
        <f>VLOOKUP(H407, 'MLB Data'!$F$2:$H$34, 3, FALSE)</f>
        <v/>
      </c>
      <c r="M407" s="17">
        <f>IF((K407*0.6+L407*0.4)&lt;2.5, 2.8, IF((K407*0.6+L407*0.4)&gt;5.5, 5.2, (K407*0.6+L407*0.4)))</f>
        <v/>
      </c>
      <c r="O407" s="18">
        <f>(C407/100) * 4.1 * (M407 / 4.2) * T407</f>
        <v/>
      </c>
      <c r="P407" s="18">
        <f>(I407/100) * 4.05 * (G407 / 4.2) * T407</f>
        <v/>
      </c>
      <c r="Q407" s="18">
        <f>(O407+P407)</f>
        <v/>
      </c>
      <c r="S407" s="15">
        <f>H407</f>
        <v/>
      </c>
      <c r="T407" s="19">
        <f>IF(S407="ROCKIES",1.13,IF(S407="ATHLETICS",1.03,IF(S407="ROYALS",1.03,IF(S407="TWINS",1,IF(S407="TIGERS",1,IF(S407="MARLINS",1.01,IF(S407="REDS",1.05,IF(S407="RED SOX",1.04,IF(S407="YANKEES",1.02,IF(S407="DODGERS",0.99,IF(S407="PADRES",0.96,IF(S407="CUBS",0.98,IF(S407="GIANTS",0.97,IF(S407="MARINERS",0.94,IF(S407="RANGERS",1,IF(S407="ASTROS",0.99,IF(S407="BRAVES",1,IF(S407="METS",0.96,IF(S407="PHILLIES",1.02,IF(S407="BLUE JAYS",1.01,IF(S407="ORIOLES",0.99,IF(S407="RAYS",1.01,IF(S407="GUARDIANS",0.99,IF(S407="WHITE SOX",0.98,IF(S407="ANGELS",1.01,IF(S407="D-BACKS",1.01,IF(S407="BREWERS",0.99,IF(S407="CARDINALS",0.96,IF(S407="PIRATES",1.02,IF(S407="NATIONALS",1,1))))))))))))))))))))))))))))))*IF(W407="",1,(1+((W407-70)/10*0.035)))*IF(U407="DOME",1,IF(U407="IN",1-(V407*0.01),IF(U407="OUT",1+(V407*0.01),IF(OR(U407="L-R",U407="R-L"),1+(V407*0.005),1))))</f>
        <v/>
      </c>
      <c r="U407" t="inlineStr">
        <is>
          <t>OUT</t>
        </is>
      </c>
      <c r="V407" t="n">
        <v>13</v>
      </c>
      <c r="W407" t="n">
        <v>78</v>
      </c>
      <c r="Y407">
        <f>B407 &amp; " vs. " &amp; H407</f>
        <v/>
      </c>
      <c r="Z407">
        <f>TRIM(LEFT(Y407, FIND("vs.", Y407)-1))</f>
        <v/>
      </c>
      <c r="AA407">
        <f>TRIM(MID(Y407, FIND(" vs. ", Y407)+4, 100))</f>
        <v/>
      </c>
      <c r="AB407" s="35">
        <f>IF(Q407 &gt; VALUE(AC407), "O " &amp; AC407, IF(Q407 &lt; VALUE(AC407), "U " &amp; AC407, AC407))</f>
        <v/>
      </c>
      <c r="AC407" s="15">
        <f>IF(OR(O407="-", P407="-"), "-", MROUND(O407 + P407, 0.5))</f>
        <v/>
      </c>
      <c r="AD407" s="15">
        <f>VALUE(TRIM(RIGHT(AF407, LEN(AF407) - FIND(" ", AF407))))</f>
        <v/>
      </c>
      <c r="AE407" s="15">
        <f>LEFT(AF407,FIND(" ",AF407)-1)</f>
        <v/>
      </c>
      <c r="AF407" s="15">
        <f>IF(OR(O407="-", P407="-"), "-",
IF(MROUND(ABS(O407-P407),0.5)&lt;=0.5,
IF(O407&gt;P407, B407 &amp; " ML", H407 &amp; " ML"),
IF(MROUND(ABS(O407-P407),0.5)=1,
IF(O407&gt;P407, H407 &amp; " +1.5", B407 &amp; " +1.5"),
IF(O407&gt;P407, B407 &amp; " -1.5", H407 &amp; " -1.5")
)
)
)</f>
        <v/>
      </c>
      <c r="AG407" s="15">
        <f>_xlfn.LET(
_xlpm.winA, O407^1.83 / (O407^1.83 + P407^1.83),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08">
      <c r="A408" s="81" t="n">
        <v>46127</v>
      </c>
      <c r="B408" t="inlineStr">
        <is>
          <t>RED SOX</t>
        </is>
      </c>
      <c r="C408">
        <f>VLOOKUP(B408, 'MLB Data'!$B$5:$D$34, 3, FALSE)</f>
        <v/>
      </c>
      <c r="D408" t="inlineStr">
        <is>
          <t>CONNELLY EARLY</t>
        </is>
      </c>
      <c r="E408" t="n">
        <v>2.69</v>
      </c>
      <c r="F408" s="17">
        <f>VLOOKUP(B408, 'MLB Data'!$F$2:$H$34, 3, FALSE)</f>
        <v/>
      </c>
      <c r="G408" s="17">
        <f>IF((E408*0.6+F408*0.4)&lt;2.5, 2.8, IF((E408*0.6+F408*0.4)&gt;5.5, 5.2, (E408*0.6+F408*0.4)))</f>
        <v/>
      </c>
      <c r="H408" t="inlineStr">
        <is>
          <t>TWINS</t>
        </is>
      </c>
      <c r="I408">
        <f>VLOOKUP(H408, 'MLB Data'!$B$5:$D$34, 3, FALSE)</f>
        <v/>
      </c>
      <c r="J408" t="inlineStr">
        <is>
          <t>SIMEON WOODS RICHARDSON</t>
        </is>
      </c>
      <c r="K408" t="n">
        <v>4.77</v>
      </c>
      <c r="L408" s="17">
        <f>VLOOKUP(H408, 'MLB Data'!$F$2:$H$34, 3, FALSE)</f>
        <v/>
      </c>
      <c r="M408" s="17">
        <f>IF((K408*0.6+L408*0.4)&lt;2.5, 2.8, IF((K408*0.6+L408*0.4)&gt;5.5, 5.2, (K408*0.6+L408*0.4)))</f>
        <v/>
      </c>
      <c r="O408" s="18">
        <f>(C408/100) * 4.1 * (M408 / 4.2) * T408</f>
        <v/>
      </c>
      <c r="P408" s="18">
        <f>(I408/100) * 4.05 * (G408 / 4.2) * T408</f>
        <v/>
      </c>
      <c r="Q408" s="18">
        <f>(O408+P408)</f>
        <v/>
      </c>
      <c r="S408" s="15">
        <f>H408</f>
        <v/>
      </c>
      <c r="T408" s="19">
        <f>IF(S408="ROCKIES",1.13,IF(S408="ATHLETICS",1.03,IF(S408="ROYALS",1.03,IF(S408="TWINS",1,IF(S408="TIGERS",1,IF(S408="MARLINS",1.01,IF(S408="REDS",1.05,IF(S408="RED SOX",1.04,IF(S408="YANKEES",1.02,IF(S408="DODGERS",0.99,IF(S408="PADRES",0.96,IF(S408="CUBS",0.98,IF(S408="GIANTS",0.97,IF(S408="MARINERS",0.94,IF(S408="RANGERS",1,IF(S408="ASTROS",0.99,IF(S408="BRAVES",1,IF(S408="METS",0.96,IF(S408="PHILLIES",1.02,IF(S408="BLUE JAYS",1.01,IF(S408="ORIOLES",0.99,IF(S408="RAYS",1.01,IF(S408="GUARDIANS",0.99,IF(S408="WHITE SOX",0.98,IF(S408="ANGELS",1.01,IF(S408="D-BACKS",1.01,IF(S408="BREWERS",0.99,IF(S408="CARDINALS",0.96,IF(S408="PIRATES",1.02,IF(S408="NATIONALS",1,1))))))))))))))))))))))))))))))*IF(W408="",1,(1+((W408-70)/10*0.035)))*IF(U408="DOME",1,IF(U408="IN",1-(V408*0.01),IF(U408="OUT",1+(V408*0.01),IF(OR(U408="L-R",U408="R-L"),1+(V408*0.005),1))))</f>
        <v/>
      </c>
      <c r="U408" t="inlineStr">
        <is>
          <t>IN</t>
        </is>
      </c>
      <c r="V408" t="n">
        <v>4</v>
      </c>
      <c r="W408" t="n">
        <v>61</v>
      </c>
      <c r="Y408">
        <f>B408 &amp; " vs. " &amp; H408</f>
        <v/>
      </c>
      <c r="Z408">
        <f>TRIM(LEFT(Y408, FIND("vs.", Y408)-1))</f>
        <v/>
      </c>
      <c r="AA408">
        <f>TRIM(MID(Y408, FIND(" vs. ", Y408)+4, 100))</f>
        <v/>
      </c>
      <c r="AB408" s="35">
        <f>IF(Q408 &gt; VALUE(AC408), "O " &amp; AC408, IF(Q408 &lt; VALUE(AC408), "U " &amp; AC408, AC408))</f>
        <v/>
      </c>
      <c r="AC408" s="15">
        <f>IF(OR(O408="-", P408="-"), "-", MROUND(O408 + P408, 0.5))</f>
        <v/>
      </c>
      <c r="AD408" s="15">
        <f>VALUE(TRIM(RIGHT(AF408, LEN(AF408) - FIND(" ", AF408))))</f>
        <v/>
      </c>
      <c r="AE408" s="15">
        <f>LEFT(AF408,FIND(" ",AF408)-1)</f>
        <v/>
      </c>
      <c r="AF408" s="15">
        <f>IF(OR(O408="-", P408="-"), "-",
IF(MROUND(ABS(O408-P408),0.5)&lt;=0.5,
IF(O408&gt;P408, B408 &amp; " ML", H408 &amp; " ML"),
IF(MROUND(ABS(O408-P408),0.5)=1,
IF(O408&gt;P408, H408 &amp; " +1.5", B408 &amp; " +1.5"),
IF(O408&gt;P408, B408 &amp; " -1.5", H408 &amp; " -1.5")
)
)
)</f>
        <v/>
      </c>
      <c r="AG408" s="15">
        <f>_xlfn.LET(
_xlpm.winA, O408^1.83 / (O408^1.83 + P408^1.83),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09">
      <c r="A409" s="81" t="n">
        <v>46127</v>
      </c>
      <c r="B409" t="inlineStr">
        <is>
          <t>ROYALS</t>
        </is>
      </c>
      <c r="C409">
        <f>VLOOKUP(B409, 'MLB Data'!$B$5:$D$34, 3, FALSE)</f>
        <v/>
      </c>
      <c r="D409" t="inlineStr">
        <is>
          <t>SETH LUGO</t>
        </is>
      </c>
      <c r="E409" t="n">
        <v>4.36</v>
      </c>
      <c r="F409" s="17">
        <f>VLOOKUP(B409, 'MLB Data'!$F$2:$H$34, 3, FALSE)</f>
        <v/>
      </c>
      <c r="G409" s="17">
        <f>IF((E409*0.6+F409*0.4)&lt;2.5, 2.8, IF((E409*0.6+F409*0.4)&gt;5.5, 5.2, (E409*0.6+F409*0.4)))</f>
        <v/>
      </c>
      <c r="H409" t="inlineStr">
        <is>
          <t>TIGERS</t>
        </is>
      </c>
      <c r="I409">
        <f>VLOOKUP(H409, 'MLB Data'!$B$5:$D$34, 3, FALSE)</f>
        <v/>
      </c>
      <c r="J409" t="inlineStr">
        <is>
          <t>JACK FLAHERTY</t>
        </is>
      </c>
      <c r="K409" t="n">
        <v>4.12</v>
      </c>
      <c r="L409" s="17">
        <f>VLOOKUP(H409, 'MLB Data'!$F$2:$H$34, 3, FALSE)</f>
        <v/>
      </c>
      <c r="M409" s="17">
        <f>IF((K409*0.6+L409*0.4)&lt;2.5, 2.8, IF((K409*0.6+L409*0.4)&gt;5.5, 5.2, (K409*0.6+L409*0.4)))</f>
        <v/>
      </c>
      <c r="O409" s="18">
        <f>(C409/100) * 4.1 * (M409 / 4.2) * T409</f>
        <v/>
      </c>
      <c r="P409" s="18">
        <f>(I409/100) * 4.05 * (G409 / 4.2) * T409</f>
        <v/>
      </c>
      <c r="Q409" s="18">
        <f>(O409+P409)</f>
        <v/>
      </c>
      <c r="S409" s="15">
        <f>H409</f>
        <v/>
      </c>
      <c r="T409" s="19">
        <f>IF(S409="ROCKIES",1.13,IF(S409="ATHLETICS",1.03,IF(S409="ROYALS",1.03,IF(S409="TWINS",1,IF(S409="TIGERS",1,IF(S409="MARLINS",1.01,IF(S409="REDS",1.05,IF(S409="RED SOX",1.04,IF(S409="YANKEES",1.02,IF(S409="DODGERS",0.99,IF(S409="PADRES",0.96,IF(S409="CUBS",0.98,IF(S409="GIANTS",0.97,IF(S409="MARINERS",0.94,IF(S409="RANGERS",1,IF(S409="ASTROS",0.99,IF(S409="BRAVES",1,IF(S409="METS",0.96,IF(S409="PHILLIES",1.02,IF(S409="BLUE JAYS",1.01,IF(S409="ORIOLES",0.99,IF(S409="RAYS",1.01,IF(S409="GUARDIANS",0.99,IF(S409="WHITE SOX",0.98,IF(S409="ANGELS",1.01,IF(S409="D-BACKS",1.01,IF(S409="BREWERS",0.99,IF(S409="CARDINALS",0.96,IF(S409="PIRATES",1.02,IF(S409="NATIONALS",1,1))))))))))))))))))))))))))))))*IF(W409="",1,(1+((W409-70)/10*0.035)))*IF(U409="DOME",1,IF(U409="IN",1-(V409*0.01),IF(U409="OUT",1+(V409*0.01),IF(OR(U409="L-R",U409="R-L"),1+(V409*0.005),1))))</f>
        <v/>
      </c>
      <c r="U409" t="inlineStr">
        <is>
          <t>CROSS</t>
        </is>
      </c>
      <c r="V409" t="n">
        <v>8</v>
      </c>
      <c r="W409" t="n">
        <v>72</v>
      </c>
      <c r="Y409">
        <f>B409 &amp; " vs. " &amp; H409</f>
        <v/>
      </c>
      <c r="Z409">
        <f>TRIM(LEFT(Y409, FIND("vs.", Y409)-1))</f>
        <v/>
      </c>
      <c r="AA409">
        <f>TRIM(MID(Y409, FIND(" vs. ", Y409)+4, 100))</f>
        <v/>
      </c>
      <c r="AB409" s="35">
        <f>IF(Q409 &gt; VALUE(AC409), "O " &amp; AC409, IF(Q409 &lt; VALUE(AC409), "U " &amp; AC409, AC409))</f>
        <v/>
      </c>
      <c r="AC409" s="15">
        <f>IF(OR(O409="-", P409="-"), "-", MROUND(O409 + P409, 0.5))</f>
        <v/>
      </c>
      <c r="AD409" s="15">
        <f>VALUE(TRIM(RIGHT(AF409, LEN(AF409) - FIND(" ", AF409))))</f>
        <v/>
      </c>
      <c r="AE409" s="15">
        <f>LEFT(AF409,FIND(" ",AF409)-1)</f>
        <v/>
      </c>
      <c r="AF409" s="15">
        <f>IF(OR(O409="-", P409="-"), "-",
IF(MROUND(ABS(O409-P409),0.5)&lt;=0.5,
IF(O409&gt;P409, B409 &amp; " ML", H409 &amp; " ML"),
IF(MROUND(ABS(O409-P409),0.5)=1,
IF(O409&gt;P409, H409 &amp; " +1.5", B409 &amp; " +1.5"),
IF(O409&gt;P409, B409 &amp; " -1.5", H409 &amp; " -1.5")
)
)
)</f>
        <v/>
      </c>
      <c r="AG409" s="15">
        <f>_xlfn.LET(
_xlpm.winA, O409^1.83 / (O409^1.83 + P409^1.83),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10">
      <c r="A410" s="81" t="n">
        <v>46127</v>
      </c>
      <c r="B410" t="inlineStr">
        <is>
          <t>NATIONALS</t>
        </is>
      </c>
      <c r="C410">
        <f>VLOOKUP(B410, 'MLB Data'!$B$5:$D$34, 3, FALSE)</f>
        <v/>
      </c>
      <c r="D410" t="inlineStr">
        <is>
          <t>JAKE IRVIN</t>
        </is>
      </c>
      <c r="E410" t="n">
        <v>4.81</v>
      </c>
      <c r="F410" s="17">
        <f>VLOOKUP(B410, 'MLB Data'!$F$2:$H$34, 3, FALSE)</f>
        <v/>
      </c>
      <c r="G410" s="17">
        <f>IF((E410*0.6+F410*0.4)&lt;2.5, 2.8, IF((E410*0.6+F410*0.4)&gt;5.5, 5.2, (E410*0.6+F410*0.4)))</f>
        <v/>
      </c>
      <c r="H410" t="inlineStr">
        <is>
          <t>PIRATES</t>
        </is>
      </c>
      <c r="I410">
        <f>VLOOKUP(H410, 'MLB Data'!$B$5:$D$34, 3, FALSE)</f>
        <v/>
      </c>
      <c r="J410" t="inlineStr">
        <is>
          <t>MASON MONTGOMERY</t>
        </is>
      </c>
      <c r="L410" s="17">
        <f>VLOOKUP(H410, 'MLB Data'!$F$2:$H$34, 3, FALSE)</f>
        <v/>
      </c>
      <c r="M410" s="17">
        <f>IF((K410*0.6+L410*0.4)&lt;2.5, 2.8, IF((K410*0.6+L410*0.4)&gt;5.5, 5.2, (K410*0.6+L410*0.4)))</f>
        <v/>
      </c>
      <c r="O410" s="18">
        <f>(C410/100) * 4.1 * (M410 / 4.2) * T410</f>
        <v/>
      </c>
      <c r="P410" s="18">
        <f>(I410/100) * 4.05 * (G410 / 4.2) * T410</f>
        <v/>
      </c>
      <c r="Q410" s="18">
        <f>(O410+P410)</f>
        <v/>
      </c>
      <c r="S410" s="15">
        <f>H410</f>
        <v/>
      </c>
      <c r="T410" s="19">
        <f>IF(S410="ROCKIES",1.13,IF(S410="ATHLETICS",1.03,IF(S410="ROYALS",1.03,IF(S410="TWINS",1,IF(S410="TIGERS",1,IF(S410="MARLINS",1.01,IF(S410="REDS",1.05,IF(S410="RED SOX",1.04,IF(S410="YANKEES",1.02,IF(S410="DODGERS",0.99,IF(S410="PADRES",0.96,IF(S410="CUBS",0.98,IF(S410="GIANTS",0.97,IF(S410="MARINERS",0.94,IF(S410="RANGERS",1,IF(S410="ASTROS",0.99,IF(S410="BRAVES",1,IF(S410="METS",0.96,IF(S410="PHILLIES",1.02,IF(S410="BLUE JAYS",1.01,IF(S410="ORIOLES",0.99,IF(S410="RAYS",1.01,IF(S410="GUARDIANS",0.99,IF(S410="WHITE SOX",0.98,IF(S410="ANGELS",1.01,IF(S410="D-BACKS",1.01,IF(S410="BREWERS",0.99,IF(S410="CARDINALS",0.96,IF(S410="PIRATES",1.02,IF(S410="NATIONALS",1,1))))))))))))))))))))))))))))))*IF(W410="",1,(1+((W410-70)/10*0.035)))*IF(U410="DOME",1,IF(U410="IN",1-(V410*0.01),IF(U410="OUT",1+(V410*0.01),IF(OR(U410="L-R",U410="R-L"),1+(V410*0.005),1))))</f>
        <v/>
      </c>
      <c r="U410" t="inlineStr">
        <is>
          <t>CROSS</t>
        </is>
      </c>
      <c r="V410" t="n">
        <v>9</v>
      </c>
      <c r="W410" t="n">
        <v>85</v>
      </c>
      <c r="Y410">
        <f>B410 &amp; " vs. " &amp; H410</f>
        <v/>
      </c>
      <c r="Z410">
        <f>TRIM(LEFT(Y410, FIND("vs.", Y410)-1))</f>
        <v/>
      </c>
      <c r="AA410">
        <f>TRIM(MID(Y410, FIND(" vs. ", Y410)+4, 100))</f>
        <v/>
      </c>
      <c r="AB410" s="35">
        <f>IF(Q410 &gt; VALUE(AC410), "O " &amp; AC410, IF(Q410 &lt; VALUE(AC410), "U " &amp; AC410, AC410))</f>
        <v/>
      </c>
      <c r="AC410" s="15">
        <f>IF(OR(O410="-", P410="-"), "-", MROUND(O410 + P410, 0.5))</f>
        <v/>
      </c>
      <c r="AD410" s="15">
        <f>VALUE(TRIM(RIGHT(AF410, LEN(AF410) - FIND(" ", AF410))))</f>
        <v/>
      </c>
      <c r="AE410" s="15">
        <f>LEFT(AF410,FIND(" ",AF410)-1)</f>
        <v/>
      </c>
      <c r="AF410" s="15">
        <f>IF(OR(O410="-", P410="-"), "-",
IF(MROUND(ABS(O410-P410),0.5)&lt;=0.5,
IF(O410&gt;P410, B410 &amp; " ML", H410 &amp; " ML"),
IF(MROUND(ABS(O410-P410),0.5)=1,
IF(O410&gt;P410, H410 &amp; " +1.5", B410 &amp; " +1.5"),
IF(O410&gt;P410, B410 &amp; " -1.5", H410 &amp; " -1.5")
)
)
)</f>
        <v/>
      </c>
      <c r="AG410" s="15">
        <f>_xlfn.LET(
_xlpm.winA, O410^1.83 / (O410^1.83 + P410^1.83),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11">
      <c r="A411" s="81" t="n">
        <v>46127</v>
      </c>
      <c r="B411" t="inlineStr">
        <is>
          <t>GIANTS</t>
        </is>
      </c>
      <c r="C411">
        <f>VLOOKUP(B411, 'MLB Data'!$B$5:$D$34, 3, FALSE)</f>
        <v/>
      </c>
      <c r="D411" t="inlineStr">
        <is>
          <t>TYLER MAHLE</t>
        </is>
      </c>
      <c r="E411" t="n">
        <v>4.22</v>
      </c>
      <c r="F411" s="17">
        <f>VLOOKUP(B411, 'MLB Data'!$F$2:$H$34, 3, FALSE)</f>
        <v/>
      </c>
      <c r="G411" s="17">
        <f>IF((E411*0.6+F411*0.4)&lt;2.5, 2.8, IF((E411*0.6+F411*0.4)&gt;5.5, 5.2, (E411*0.6+F411*0.4)))</f>
        <v/>
      </c>
      <c r="H411" t="inlineStr">
        <is>
          <t>REDS</t>
        </is>
      </c>
      <c r="I411">
        <f>VLOOKUP(H411, 'MLB Data'!$B$5:$D$34, 3, FALSE)</f>
        <v/>
      </c>
      <c r="J411" t="inlineStr">
        <is>
          <t>RHETT LOWDER</t>
        </is>
      </c>
      <c r="K411" t="n">
        <v>4.94</v>
      </c>
      <c r="L411" s="17">
        <f>VLOOKUP(H411, 'MLB Data'!$F$2:$H$34, 3, FALSE)</f>
        <v/>
      </c>
      <c r="M411" s="17">
        <f>IF((K411*0.6+L411*0.4)&lt;2.5, 2.8, IF((K411*0.6+L411*0.4)&gt;5.5, 5.2, (K411*0.6+L411*0.4)))</f>
        <v/>
      </c>
      <c r="O411" s="18">
        <f>(C411/100) * 4.1 * (M411 / 4.2) * T411</f>
        <v/>
      </c>
      <c r="P411" s="18">
        <f>(I411/100) * 4.05 * (G411 / 4.2) * T411</f>
        <v/>
      </c>
      <c r="Q411" s="18">
        <f>(O411+P411)</f>
        <v/>
      </c>
      <c r="S411" s="15">
        <f>H411</f>
        <v/>
      </c>
      <c r="T411" s="19">
        <f>IF(S411="ROCKIES",1.13,IF(S411="ATHLETICS",1.03,IF(S411="ROYALS",1.03,IF(S411="TWINS",1,IF(S411="TIGERS",1,IF(S411="MARLINS",1.01,IF(S411="REDS",1.05,IF(S411="RED SOX",1.04,IF(S411="YANKEES",1.02,IF(S411="DODGERS",0.99,IF(S411="PADRES",0.96,IF(S411="CUBS",0.98,IF(S411="GIANTS",0.97,IF(S411="MARINERS",0.94,IF(S411="RANGERS",1,IF(S411="ASTROS",0.99,IF(S411="BRAVES",1,IF(S411="METS",0.96,IF(S411="PHILLIES",1.02,IF(S411="BLUE JAYS",1.01,IF(S411="ORIOLES",0.99,IF(S411="RAYS",1.01,IF(S411="GUARDIANS",0.99,IF(S411="WHITE SOX",0.98,IF(S411="ANGELS",1.01,IF(S411="D-BACKS",1.01,IF(S411="BREWERS",0.99,IF(S411="CARDINALS",0.96,IF(S411="PIRATES",1.02,IF(S411="NATIONALS",1,1))))))))))))))))))))))))))))))*IF(W411="",1,(1+((W411-70)/10*0.035)))*IF(U411="DOME",1,IF(U411="IN",1-(V411*0.01),IF(U411="OUT",1+(V411*0.01),IF(OR(U411="L-R",U411="R-L"),1+(V411*0.005),1))))</f>
        <v/>
      </c>
      <c r="U411" t="inlineStr">
        <is>
          <t>OUT</t>
        </is>
      </c>
      <c r="V411" t="n">
        <v>12</v>
      </c>
      <c r="W411" t="n">
        <v>86</v>
      </c>
      <c r="Y411">
        <f>B411 &amp; " vs. " &amp; H411</f>
        <v/>
      </c>
      <c r="Z411">
        <f>TRIM(LEFT(Y411, FIND("vs.", Y411)-1))</f>
        <v/>
      </c>
      <c r="AA411">
        <f>TRIM(MID(Y411, FIND(" vs. ", Y411)+4, 100))</f>
        <v/>
      </c>
      <c r="AB411" s="35">
        <f>IF(Q411 &gt; VALUE(AC411), "O " &amp; AC411, IF(Q411 &lt; VALUE(AC411), "U " &amp; AC411, AC411))</f>
        <v/>
      </c>
      <c r="AC411" s="15">
        <f>IF(OR(O411="-", P411="-"), "-", MROUND(O411 + P411, 0.5))</f>
        <v/>
      </c>
      <c r="AD411" s="15">
        <f>VALUE(TRIM(RIGHT(AF411, LEN(AF411) - FIND(" ", AF411))))</f>
        <v/>
      </c>
      <c r="AE411" s="15">
        <f>LEFT(AF411,FIND(" ",AF411)-1)</f>
        <v/>
      </c>
      <c r="AF411" s="15">
        <f>IF(OR(O411="-", P411="-"), "-",
IF(MROUND(ABS(O411-P411),0.5)&lt;=0.5,
IF(O411&gt;P411, B411 &amp; " ML", H411 &amp; " ML"),
IF(MROUND(ABS(O411-P411),0.5)=1,
IF(O411&gt;P411, H411 &amp; " +1.5", B411 &amp; " +1.5"),
IF(O411&gt;P411, B411 &amp; " -1.5", H411 &amp; " -1.5")
)
)
)</f>
        <v/>
      </c>
      <c r="AG411" s="15">
        <f>_xlfn.LET(
_xlpm.winA, O411^1.83 / (O411^1.83 + P411^1.83),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12">
      <c r="A412" s="81" t="n">
        <v>46127</v>
      </c>
      <c r="B412" t="inlineStr">
        <is>
          <t>CUBS</t>
        </is>
      </c>
      <c r="C412">
        <f>VLOOKUP(B412, 'MLB Data'!$B$5:$D$34, 3, FALSE)</f>
        <v/>
      </c>
      <c r="D412" t="inlineStr">
        <is>
          <t>SHOTA IMANAGA</t>
        </is>
      </c>
      <c r="E412" t="n">
        <v>4.2</v>
      </c>
      <c r="F412" s="17">
        <f>VLOOKUP(B412, 'MLB Data'!$F$2:$H$34, 3, FALSE)</f>
        <v/>
      </c>
      <c r="G412" s="17">
        <f>IF((E412*0.6+F412*0.4)&lt;2.5, 2.8, IF((E412*0.6+F412*0.4)&gt;5.5, 5.2, (E412*0.6+F412*0.4)))</f>
        <v/>
      </c>
      <c r="H412" t="inlineStr">
        <is>
          <t>PHILLIES</t>
        </is>
      </c>
      <c r="I412">
        <f>VLOOKUP(H412, 'MLB Data'!$B$5:$D$34, 3, FALSE)</f>
        <v/>
      </c>
      <c r="J412" t="inlineStr">
        <is>
          <t>JESÚS LUZARDO</t>
        </is>
      </c>
      <c r="K412" t="n">
        <v>2.93</v>
      </c>
      <c r="L412" s="17">
        <f>VLOOKUP(H412, 'MLB Data'!$F$2:$H$34, 3, FALSE)</f>
        <v/>
      </c>
      <c r="M412" s="17">
        <f>IF((K412*0.6+L412*0.4)&lt;2.5, 2.8, IF((K412*0.6+L412*0.4)&gt;5.5, 5.2, (K412*0.6+L412*0.4)))</f>
        <v/>
      </c>
      <c r="O412" s="18">
        <f>(C412/100) * 4.1 * (M412 / 4.2) * T412</f>
        <v/>
      </c>
      <c r="P412" s="18">
        <f>(I412/100) * 4.05 * (G412 / 4.2) * T412</f>
        <v/>
      </c>
      <c r="Q412" s="18">
        <f>(O412+P412)</f>
        <v/>
      </c>
      <c r="S412" s="15">
        <f>H412</f>
        <v/>
      </c>
      <c r="T412" s="19">
        <f>IF(S412="ROCKIES",1.13,IF(S412="ATHLETICS",1.03,IF(S412="ROYALS",1.03,IF(S412="TWINS",1,IF(S412="TIGERS",1,IF(S412="MARLINS",1.01,IF(S412="REDS",1.05,IF(S412="RED SOX",1.04,IF(S412="YANKEES",1.02,IF(S412="DODGERS",0.99,IF(S412="PADRES",0.96,IF(S412="CUBS",0.98,IF(S412="GIANTS",0.97,IF(S412="MARINERS",0.94,IF(S412="RANGERS",1,IF(S412="ASTROS",0.99,IF(S412="BRAVES",1,IF(S412="METS",0.96,IF(S412="PHILLIES",1.02,IF(S412="BLUE JAYS",1.01,IF(S412="ORIOLES",0.99,IF(S412="RAYS",1.01,IF(S412="GUARDIANS",0.99,IF(S412="WHITE SOX",0.98,IF(S412="ANGELS",1.01,IF(S412="D-BACKS",1.01,IF(S412="BREWERS",0.99,IF(S412="CARDINALS",0.96,IF(S412="PIRATES",1.02,IF(S412="NATIONALS",1,1))))))))))))))))))))))))))))))*IF(W412="",1,(1+((W412-70)/10*0.035)))*IF(U412="DOME",1,IF(U412="IN",1-(V412*0.01),IF(U412="OUT",1+(V412*0.01),IF(OR(U412="L-R",U412="R-L"),1+(V412*0.005),1))))</f>
        <v/>
      </c>
      <c r="U412" t="inlineStr">
        <is>
          <t>CROSS</t>
        </is>
      </c>
      <c r="V412" t="n">
        <v>11</v>
      </c>
      <c r="W412" t="n">
        <v>89</v>
      </c>
      <c r="Y412">
        <f>B412 &amp; " vs. " &amp; H412</f>
        <v/>
      </c>
      <c r="Z412">
        <f>TRIM(LEFT(Y412, FIND("vs.", Y412)-1))</f>
        <v/>
      </c>
      <c r="AA412">
        <f>TRIM(MID(Y412, FIND(" vs. ", Y412)+4, 100))</f>
        <v/>
      </c>
      <c r="AB412" s="35">
        <f>IF(Q412 &gt; VALUE(AC412), "O " &amp; AC412, IF(Q412 &lt; VALUE(AC412), "U " &amp; AC412, AC412))</f>
        <v/>
      </c>
      <c r="AC412" s="15">
        <f>IF(OR(O412="-", P412="-"), "-", MROUND(O412 + P412, 0.5))</f>
        <v/>
      </c>
      <c r="AD412" s="15">
        <f>VALUE(TRIM(RIGHT(AF412, LEN(AF412) - FIND(" ", AF412))))</f>
        <v/>
      </c>
      <c r="AE412" s="15">
        <f>LEFT(AF412,FIND(" ",AF412)-1)</f>
        <v/>
      </c>
      <c r="AF412" s="15">
        <f>IF(OR(O412="-", P412="-"), "-",
IF(MROUND(ABS(O412-P412),0.5)&lt;=0.5,
IF(O412&gt;P412, B412 &amp; " ML", H412 &amp; " ML"),
IF(MROUND(ABS(O412-P412),0.5)=1,
IF(O412&gt;P412, H412 &amp; " +1.5", B412 &amp; " +1.5"),
IF(O412&gt;P412, B412 &amp; " -1.5", H412 &amp; " -1.5")
)
)
)</f>
        <v/>
      </c>
      <c r="AG412" s="15">
        <f>_xlfn.LET(
_xlpm.winA, O412^1.83 / (O412^1.83 + P412^1.83),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13">
      <c r="A413" s="81" t="n">
        <v>46127</v>
      </c>
      <c r="B413" t="inlineStr">
        <is>
          <t>ANGELS</t>
        </is>
      </c>
      <c r="C413">
        <f>VLOOKUP(B413, 'MLB Data'!$B$5:$D$34, 3, FALSE)</f>
        <v/>
      </c>
      <c r="D413" t="inlineStr">
        <is>
          <t>JACK KOCHANOWICZ</t>
        </is>
      </c>
      <c r="E413" t="n">
        <v>5.15</v>
      </c>
      <c r="F413" s="17">
        <f>VLOOKUP(B413, 'MLB Data'!$F$2:$H$34, 3, FALSE)</f>
        <v/>
      </c>
      <c r="G413" s="17">
        <f>IF((E413*0.6+F413*0.4)&lt;2.5, 2.8, IF((E413*0.6+F413*0.4)&gt;5.5, 5.2, (E413*0.6+F413*0.4)))</f>
        <v/>
      </c>
      <c r="H413" t="inlineStr">
        <is>
          <t>YANKEES</t>
        </is>
      </c>
      <c r="I413">
        <f>VLOOKUP(H413, 'MLB Data'!$B$5:$D$34, 3, FALSE)</f>
        <v/>
      </c>
      <c r="J413" t="inlineStr">
        <is>
          <t>LUIS GIL</t>
        </is>
      </c>
      <c r="K413" t="n">
        <v>5.9</v>
      </c>
      <c r="L413" s="17">
        <f>VLOOKUP(H413, 'MLB Data'!$F$2:$H$34, 3, FALSE)</f>
        <v/>
      </c>
      <c r="M413" s="17">
        <f>IF((K413*0.6+L413*0.4)&lt;2.5, 2.8, IF((K413*0.6+L413*0.4)&gt;5.5, 5.2, (K413*0.6+L413*0.4)))</f>
        <v/>
      </c>
      <c r="O413" s="18">
        <f>(C413/100) * 4.1 * (M413 / 4.2) * T413</f>
        <v/>
      </c>
      <c r="P413" s="18">
        <f>(I413/100) * 4.05 * (G413 / 4.2) * T413</f>
        <v/>
      </c>
      <c r="Q413" s="18">
        <f>(O413+P413)</f>
        <v/>
      </c>
      <c r="S413" s="15">
        <f>H413</f>
        <v/>
      </c>
      <c r="T413" s="19">
        <f>IF(S413="ROCKIES",1.13,IF(S413="ATHLETICS",1.03,IF(S413="ROYALS",1.03,IF(S413="TWINS",1,IF(S413="TIGERS",1,IF(S413="MARLINS",1.01,IF(S413="REDS",1.05,IF(S413="RED SOX",1.04,IF(S413="YANKEES",1.02,IF(S413="DODGERS",0.99,IF(S413="PADRES",0.96,IF(S413="CUBS",0.98,IF(S413="GIANTS",0.97,IF(S413="MARINERS",0.94,IF(S413="RANGERS",1,IF(S413="ASTROS",0.99,IF(S413="BRAVES",1,IF(S413="METS",0.96,IF(S413="PHILLIES",1.02,IF(S413="BLUE JAYS",1.01,IF(S413="ORIOLES",0.99,IF(S413="RAYS",1.01,IF(S413="GUARDIANS",0.99,IF(S413="WHITE SOX",0.98,IF(S413="ANGELS",1.01,IF(S413="D-BACKS",1.01,IF(S413="BREWERS",0.99,IF(S413="CARDINALS",0.96,IF(S413="PIRATES",1.02,IF(S413="NATIONALS",1,1))))))))))))))))))))))))))))))*IF(W413="",1,(1+((W413-70)/10*0.035)))*IF(U413="DOME",1,IF(U413="IN",1-(V413*0.01),IF(U413="OUT",1+(V413*0.01),IF(OR(U413="L-R",U413="R-L"),1+(V413*0.005),1))))</f>
        <v/>
      </c>
      <c r="U413" t="inlineStr">
        <is>
          <t>OUT</t>
        </is>
      </c>
      <c r="V413" t="n">
        <v>10</v>
      </c>
      <c r="W413" t="n">
        <v>75</v>
      </c>
      <c r="Y413">
        <f>B413 &amp; " vs. " &amp; H413</f>
        <v/>
      </c>
      <c r="Z413">
        <f>TRIM(LEFT(Y413, FIND("vs.", Y413)-1))</f>
        <v/>
      </c>
      <c r="AA413">
        <f>TRIM(MID(Y413, FIND(" vs. ", Y413)+4, 100))</f>
        <v/>
      </c>
      <c r="AB413" s="35">
        <f>IF(Q413 &gt; VALUE(AC413), "O " &amp; AC413, IF(Q413 &lt; VALUE(AC413), "U " &amp; AC413, AC413))</f>
        <v/>
      </c>
      <c r="AC413" s="15">
        <f>IF(OR(O413="-", P413="-"), "-", MROUND(O413 + P413, 0.5))</f>
        <v/>
      </c>
      <c r="AD413" s="15">
        <f>VALUE(TRIM(RIGHT(AF413, LEN(AF413) - FIND(" ", AF413))))</f>
        <v/>
      </c>
      <c r="AE413" s="15">
        <f>LEFT(AF413,FIND(" ",AF413)-1)</f>
        <v/>
      </c>
      <c r="AF413" s="15">
        <f>IF(OR(O413="-", P413="-"), "-",
IF(MROUND(ABS(O413-P413),0.5)&lt;=0.5,
IF(O413&gt;P413, B413 &amp; " ML", H413 &amp; " ML"),
IF(MROUND(ABS(O413-P413),0.5)=1,
IF(O413&gt;P413, H413 &amp; " +1.5", B413 &amp; " +1.5"),
IF(O413&gt;P413, B413 &amp; " -1.5", H413 &amp; " -1.5")
)
)
)</f>
        <v/>
      </c>
      <c r="AG413" s="15">
        <f>_xlfn.LET(
_xlpm.winA, O413^1.83 / (O413^1.83 + P413^1.83),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14">
      <c r="A414" s="81" t="n">
        <v>46127</v>
      </c>
      <c r="B414" t="inlineStr">
        <is>
          <t>MARLINS</t>
        </is>
      </c>
      <c r="C414">
        <f>VLOOKUP(B414, 'MLB Data'!$B$5:$D$34, 3, FALSE)</f>
        <v/>
      </c>
      <c r="D414" t="inlineStr">
        <is>
          <t>CHRIS PADDACK</t>
        </is>
      </c>
      <c r="E414" t="n">
        <v>4.49</v>
      </c>
      <c r="F414" s="17">
        <f>VLOOKUP(B414, 'MLB Data'!$F$2:$H$34, 3, FALSE)</f>
        <v/>
      </c>
      <c r="G414" s="17">
        <f>IF((E414*0.6+F414*0.4)&lt;2.5, 2.8, IF((E414*0.6+F414*0.4)&gt;5.5, 5.2, (E414*0.6+F414*0.4)))</f>
        <v/>
      </c>
      <c r="H414" t="inlineStr">
        <is>
          <t>BRAVES</t>
        </is>
      </c>
      <c r="I414">
        <f>VLOOKUP(H414, 'MLB Data'!$B$5:$D$34, 3, FALSE)</f>
        <v/>
      </c>
      <c r="J414" t="inlineStr">
        <is>
          <t>BRYCE ELDER</t>
        </is>
      </c>
      <c r="K414" t="n">
        <v>3.94</v>
      </c>
      <c r="L414" s="17">
        <f>VLOOKUP(H414, 'MLB Data'!$F$2:$H$34, 3, FALSE)</f>
        <v/>
      </c>
      <c r="M414" s="17">
        <f>IF((K414*0.6+L414*0.4)&lt;2.5, 2.8, IF((K414*0.6+L414*0.4)&gt;5.5, 5.2, (K414*0.6+L414*0.4)))</f>
        <v/>
      </c>
      <c r="O414" s="18">
        <f>(C414/100) * 4.1 * (M414 / 4.2) * T414</f>
        <v/>
      </c>
      <c r="P414" s="18">
        <f>(I414/100) * 4.05 * (G414 / 4.2) * T414</f>
        <v/>
      </c>
      <c r="Q414" s="18">
        <f>(O414+P414)</f>
        <v/>
      </c>
      <c r="S414" s="15">
        <f>H414</f>
        <v/>
      </c>
      <c r="T414" s="19">
        <f>IF(S414="ROCKIES",1.13,IF(S414="ATHLETICS",1.03,IF(S414="ROYALS",1.03,IF(S414="TWINS",1,IF(S414="TIGERS",1,IF(S414="MARLINS",1.01,IF(S414="REDS",1.05,IF(S414="RED SOX",1.04,IF(S414="YANKEES",1.02,IF(S414="DODGERS",0.99,IF(S414="PADRES",0.96,IF(S414="CUBS",0.98,IF(S414="GIANTS",0.97,IF(S414="MARINERS",0.94,IF(S414="RANGERS",1,IF(S414="ASTROS",0.99,IF(S414="BRAVES",1,IF(S414="METS",0.96,IF(S414="PHILLIES",1.02,IF(S414="BLUE JAYS",1.01,IF(S414="ORIOLES",0.99,IF(S414="RAYS",1.01,IF(S414="GUARDIANS",0.99,IF(S414="WHITE SOX",0.98,IF(S414="ANGELS",1.01,IF(S414="D-BACKS",1.01,IF(S414="BREWERS",0.99,IF(S414="CARDINALS",0.96,IF(S414="PIRATES",1.02,IF(S414="NATIONALS",1,1))))))))))))))))))))))))))))))*IF(W414="",1,(1+((W414-70)/10*0.035)))*IF(U414="DOME",1,IF(U414="IN",1-(V414*0.01),IF(U414="OUT",1+(V414*0.01),IF(OR(U414="L-R",U414="R-L"),1+(V414*0.005),1))))</f>
        <v/>
      </c>
      <c r="U414" t="inlineStr">
        <is>
          <t>OUT</t>
        </is>
      </c>
      <c r="V414" t="n">
        <v>9</v>
      </c>
      <c r="W414" t="n">
        <v>85</v>
      </c>
      <c r="Y414">
        <f>B414 &amp; " vs. " &amp; H414</f>
        <v/>
      </c>
      <c r="Z414">
        <f>TRIM(LEFT(Y414, FIND("vs.", Y414)-1))</f>
        <v/>
      </c>
      <c r="AA414">
        <f>TRIM(MID(Y414, FIND(" vs. ", Y414)+4, 100))</f>
        <v/>
      </c>
      <c r="AB414" s="35">
        <f>IF(Q414 &gt; VALUE(AC414), "O " &amp; AC414, IF(Q414 &lt; VALUE(AC414), "U " &amp; AC414, AC414))</f>
        <v/>
      </c>
      <c r="AC414" s="15">
        <f>IF(OR(O414="-", P414="-"), "-", MROUND(O414 + P414, 0.5))</f>
        <v/>
      </c>
      <c r="AD414" s="15">
        <f>VALUE(TRIM(RIGHT(AF414, LEN(AF414) - FIND(" ", AF414))))</f>
        <v/>
      </c>
      <c r="AE414" s="15">
        <f>LEFT(AF414,FIND(" ",AF414)-1)</f>
        <v/>
      </c>
      <c r="AF414" s="15">
        <f>IF(OR(O414="-", P414="-"), "-",
IF(MROUND(ABS(O414-P414),0.5)&lt;=0.5,
IF(O414&gt;P414, B414 &amp; " ML", H414 &amp; " ML"),
IF(MROUND(ABS(O414-P414),0.5)=1,
IF(O414&gt;P414, H414 &amp; " +1.5", B414 &amp; " +1.5"),
IF(O414&gt;P414, B414 &amp; " -1.5", H414 &amp; " -1.5")
)
)
)</f>
        <v/>
      </c>
      <c r="AG414" s="15">
        <f>_xlfn.LET(
_xlpm.winA, O414^1.83 / (O414^1.83 + P414^1.83),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15">
      <c r="A415" s="81" t="n">
        <v>46127</v>
      </c>
      <c r="B415" t="inlineStr">
        <is>
          <t>RAYS</t>
        </is>
      </c>
      <c r="C415">
        <f>VLOOKUP(B415, 'MLB Data'!$B$5:$D$34, 3, FALSE)</f>
        <v/>
      </c>
      <c r="D415" t="inlineStr">
        <is>
          <t>JESSE SCHOLTENS</t>
        </is>
      </c>
      <c r="F415" s="17">
        <f>VLOOKUP(B415, 'MLB Data'!$F$2:$H$34, 3, FALSE)</f>
        <v/>
      </c>
      <c r="G415" s="17">
        <f>IF((E415*0.6+F415*0.4)&lt;2.5, 2.8, IF((E415*0.6+F415*0.4)&gt;5.5, 5.2, (E415*0.6+F415*0.4)))</f>
        <v/>
      </c>
      <c r="H415" t="inlineStr">
        <is>
          <t>WHITE SOX</t>
        </is>
      </c>
      <c r="I415">
        <f>VLOOKUP(H415, 'MLB Data'!$B$5:$D$34, 3, FALSE)</f>
        <v/>
      </c>
      <c r="J415" t="inlineStr">
        <is>
          <t>SEAN BURKE</t>
        </is>
      </c>
      <c r="K415" t="n">
        <v>4.87</v>
      </c>
      <c r="L415" s="17">
        <f>VLOOKUP(H415, 'MLB Data'!$F$2:$H$34, 3, FALSE)</f>
        <v/>
      </c>
      <c r="M415" s="17">
        <f>IF((K415*0.6+L415*0.4)&lt;2.5, 2.8, IF((K415*0.6+L415*0.4)&gt;5.5, 5.2, (K415*0.6+L415*0.4)))</f>
        <v/>
      </c>
      <c r="O415" s="18">
        <f>(C415/100) * 4.1 * (M415 / 4.2) * T415</f>
        <v/>
      </c>
      <c r="P415" s="18">
        <f>(I415/100) * 4.05 * (G415 / 4.2) * T415</f>
        <v/>
      </c>
      <c r="Q415" s="18">
        <f>(O415+P415)</f>
        <v/>
      </c>
      <c r="S415" s="15">
        <f>H415</f>
        <v/>
      </c>
      <c r="T415" s="19">
        <f>IF(S415="ROCKIES",1.13,IF(S415="ATHLETICS",1.03,IF(S415="ROYALS",1.03,IF(S415="TWINS",1,IF(S415="TIGERS",1,IF(S415="MARLINS",1.01,IF(S415="REDS",1.05,IF(S415="RED SOX",1.04,IF(S415="YANKEES",1.02,IF(S415="DODGERS",0.99,IF(S415="PADRES",0.96,IF(S415="CUBS",0.98,IF(S415="GIANTS",0.97,IF(S415="MARINERS",0.94,IF(S415="RANGERS",1,IF(S415="ASTROS",0.99,IF(S415="BRAVES",1,IF(S415="METS",0.96,IF(S415="PHILLIES",1.02,IF(S415="BLUE JAYS",1.01,IF(S415="ORIOLES",0.99,IF(S415="RAYS",1.01,IF(S415="GUARDIANS",0.99,IF(S415="WHITE SOX",0.98,IF(S415="ANGELS",1.01,IF(S415="D-BACKS",1.01,IF(S415="BREWERS",0.99,IF(S415="CARDINALS",0.96,IF(S415="PIRATES",1.02,IF(S415="NATIONALS",1,1))))))))))))))))))))))))))))))*IF(W415="",1,(1+((W415-70)/10*0.035)))*IF(U415="DOME",1,IF(U415="IN",1-(V415*0.01),IF(U415="OUT",1+(V415*0.01),IF(OR(U415="L-R",U415="R-L"),1+(V415*0.005),1))))</f>
        <v/>
      </c>
      <c r="U415" t="inlineStr">
        <is>
          <t>OUT</t>
        </is>
      </c>
      <c r="V415" t="n">
        <v>13</v>
      </c>
      <c r="W415" t="n">
        <v>64</v>
      </c>
      <c r="Y415">
        <f>B415 &amp; " vs. " &amp; H415</f>
        <v/>
      </c>
      <c r="Z415">
        <f>TRIM(LEFT(Y415, FIND("vs.", Y415)-1))</f>
        <v/>
      </c>
      <c r="AA415">
        <f>TRIM(MID(Y415, FIND(" vs. ", Y415)+4, 100))</f>
        <v/>
      </c>
      <c r="AB415" s="35">
        <f>IF(Q415 &gt; VALUE(AC415), "O " &amp; AC415, IF(Q415 &lt; VALUE(AC415), "U " &amp; AC415, AC415))</f>
        <v/>
      </c>
      <c r="AC415" s="15">
        <f>IF(OR(O415="-", P415="-"), "-", MROUND(O415 + P415, 0.5))</f>
        <v/>
      </c>
      <c r="AD415" s="15">
        <f>VALUE(TRIM(RIGHT(AF415, LEN(AF415) - FIND(" ", AF415))))</f>
        <v/>
      </c>
      <c r="AE415" s="15">
        <f>LEFT(AF415,FIND(" ",AF415)-1)</f>
        <v/>
      </c>
      <c r="AF415" s="15">
        <f>IF(OR(O415="-", P415="-"), "-",
IF(MROUND(ABS(O415-P415),0.5)&lt;=0.5,
IF(O415&gt;P415, B415 &amp; " ML", H415 &amp; " ML"),
IF(MROUND(ABS(O415-P415),0.5)=1,
IF(O415&gt;P415, H415 &amp; " +1.5", B415 &amp; " +1.5"),
IF(O415&gt;P415, B415 &amp; " -1.5", H415 &amp; " -1.5")
)
)
)</f>
        <v/>
      </c>
      <c r="AG415" s="15">
        <f>_xlfn.LET(
_xlpm.winA, O415^1.83 / (O415^1.83 + P415^1.83),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16">
      <c r="A416" s="81" t="n">
        <v>46127</v>
      </c>
      <c r="B416" t="inlineStr">
        <is>
          <t>BLUE JAYS</t>
        </is>
      </c>
      <c r="C416">
        <f>VLOOKUP(B416, 'MLB Data'!$B$5:$D$34, 3, FALSE)</f>
        <v/>
      </c>
      <c r="D416" t="inlineStr">
        <is>
          <t>DYLAN CEASE</t>
        </is>
      </c>
      <c r="E416" t="n">
        <v>3.35</v>
      </c>
      <c r="F416" s="17">
        <f>VLOOKUP(B416, 'MLB Data'!$F$2:$H$34, 3, FALSE)</f>
        <v/>
      </c>
      <c r="G416" s="17">
        <f>IF((E416*0.6+F416*0.4)&lt;2.5, 2.8, IF((E416*0.6+F416*0.4)&gt;5.5, 5.2, (E416*0.6+F416*0.4)))</f>
        <v/>
      </c>
      <c r="H416" t="inlineStr">
        <is>
          <t>BREWERS</t>
        </is>
      </c>
      <c r="I416">
        <f>VLOOKUP(H416, 'MLB Data'!$B$5:$D$34, 3, FALSE)</f>
        <v/>
      </c>
      <c r="J416" t="inlineStr">
        <is>
          <t>CHAD PATRICK</t>
        </is>
      </c>
      <c r="K416" t="n">
        <v>4.29</v>
      </c>
      <c r="L416" s="17">
        <f>VLOOKUP(H416, 'MLB Data'!$F$2:$H$34, 3, FALSE)</f>
        <v/>
      </c>
      <c r="M416" s="17">
        <f>IF((K416*0.6+L416*0.4)&lt;2.5, 2.8, IF((K416*0.6+L416*0.4)&gt;5.5, 5.2, (K416*0.6+L416*0.4)))</f>
        <v/>
      </c>
      <c r="O416" s="18">
        <f>(C416/100) * 4.1 * (M416 / 4.2) * T416</f>
        <v/>
      </c>
      <c r="P416" s="18">
        <f>(I416/100) * 4.05 * (G416 / 4.2) * T416</f>
        <v/>
      </c>
      <c r="Q416" s="18">
        <f>(O416+P416)</f>
        <v/>
      </c>
      <c r="S416" s="15">
        <f>H416</f>
        <v/>
      </c>
      <c r="T416" s="19">
        <f>IF(S416="ROCKIES",1.13,IF(S416="ATHLETICS",1.03,IF(S416="ROYALS",1.03,IF(S416="TWINS",1,IF(S416="TIGERS",1,IF(S416="MARLINS",1.01,IF(S416="REDS",1.05,IF(S416="RED SOX",1.04,IF(S416="YANKEES",1.02,IF(S416="DODGERS",0.99,IF(S416="PADRES",0.96,IF(S416="CUBS",0.98,IF(S416="GIANTS",0.97,IF(S416="MARINERS",0.94,IF(S416="RANGERS",1,IF(S416="ASTROS",0.99,IF(S416="BRAVES",1,IF(S416="METS",0.96,IF(S416="PHILLIES",1.02,IF(S416="BLUE JAYS",1.01,IF(S416="ORIOLES",0.99,IF(S416="RAYS",1.01,IF(S416="GUARDIANS",0.99,IF(S416="WHITE SOX",0.98,IF(S416="ANGELS",1.01,IF(S416="D-BACKS",1.01,IF(S416="BREWERS",0.99,IF(S416="CARDINALS",0.96,IF(S416="PIRATES",1.02,IF(S416="NATIONALS",1,1))))))))))))))))))))))))))))))*IF(W416="",1,(1+((W416-70)/10*0.035)))*IF(U416="DOME",1,IF(U416="IN",1-(V416*0.01),IF(U416="OUT",1+(V416*0.01),IF(OR(U416="L-R",U416="R-L"),1+(V416*0.005),1))))</f>
        <v/>
      </c>
      <c r="U416" t="inlineStr">
        <is>
          <t>DOME</t>
        </is>
      </c>
      <c r="V416" t="n">
        <v>0</v>
      </c>
      <c r="Y416">
        <f>B416 &amp; " vs. " &amp; H416</f>
        <v/>
      </c>
      <c r="Z416">
        <f>TRIM(LEFT(Y416, FIND("vs.", Y416)-1))</f>
        <v/>
      </c>
      <c r="AA416">
        <f>TRIM(MID(Y416, FIND(" vs. ", Y416)+4, 100))</f>
        <v/>
      </c>
      <c r="AB416" s="35">
        <f>IF(Q416 &gt; VALUE(AC416), "O " &amp; AC416, IF(Q416 &lt; VALUE(AC416), "U " &amp; AC416, AC416))</f>
        <v/>
      </c>
      <c r="AC416" s="15">
        <f>IF(OR(O416="-", P416="-"), "-", MROUND(O416 + P416, 0.5))</f>
        <v/>
      </c>
      <c r="AD416" s="15">
        <f>VALUE(TRIM(RIGHT(AF416, LEN(AF416) - FIND(" ", AF416))))</f>
        <v/>
      </c>
      <c r="AE416" s="15">
        <f>LEFT(AF416,FIND(" ",AF416)-1)</f>
        <v/>
      </c>
      <c r="AF416" s="15">
        <f>IF(OR(O416="-", P416="-"), "-",
IF(MROUND(ABS(O416-P416),0.5)&lt;=0.5,
IF(O416&gt;P416, B416 &amp; " ML", H416 &amp; " ML"),
IF(MROUND(ABS(O416-P416),0.5)=1,
IF(O416&gt;P416, H416 &amp; " +1.5", B416 &amp; " +1.5"),
IF(O416&gt;P416, B416 &amp; " -1.5", H416 &amp; " -1.5")
)
)
)</f>
        <v/>
      </c>
      <c r="AG416" s="15">
        <f>_xlfn.LET(
_xlpm.winA, O416^1.83 / (O416^1.83 + P416^1.83),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17">
      <c r="A417" s="81" t="n">
        <v>46127</v>
      </c>
      <c r="B417" t="inlineStr">
        <is>
          <t>ROCKIES</t>
        </is>
      </c>
      <c r="C417">
        <f>VLOOKUP(B417, 'MLB Data'!$B$5:$D$34, 3, FALSE)</f>
        <v/>
      </c>
      <c r="D417" t="inlineStr">
        <is>
          <t>JOSE QUINTANA</t>
        </is>
      </c>
      <c r="E417" t="n">
        <v>5.45</v>
      </c>
      <c r="F417" s="17">
        <f>VLOOKUP(B417, 'MLB Data'!$F$2:$H$34, 3, FALSE)</f>
        <v/>
      </c>
      <c r="G417" s="17">
        <f>IF((E417*0.6+F417*0.4)&lt;2.5, 2.8, IF((E417*0.6+F417*0.4)&gt;5.5, 5.2, (E417*0.6+F417*0.4)))</f>
        <v/>
      </c>
      <c r="H417" t="inlineStr">
        <is>
          <t>ASTROS</t>
        </is>
      </c>
      <c r="I417">
        <f>VLOOKUP(H417, 'MLB Data'!$B$5:$D$34, 3, FALSE)</f>
        <v/>
      </c>
      <c r="J417" t="inlineStr">
        <is>
          <t>SPENCER ARRIGHETTI</t>
        </is>
      </c>
      <c r="K417" t="n">
        <v>5.03</v>
      </c>
      <c r="L417" s="17">
        <f>VLOOKUP(H417, 'MLB Data'!$F$2:$H$34, 3, FALSE)</f>
        <v/>
      </c>
      <c r="M417" s="17">
        <f>IF((K417*0.6+L417*0.4)&lt;2.5, 2.8, IF((K417*0.6+L417*0.4)&gt;5.5, 5.2, (K417*0.6+L417*0.4)))</f>
        <v/>
      </c>
      <c r="O417" s="18">
        <f>(C417/100) * 4.1 * (M417 / 4.2) * T417</f>
        <v/>
      </c>
      <c r="P417" s="18">
        <f>(I417/100) * 4.05 * (G417 / 4.2) * T417</f>
        <v/>
      </c>
      <c r="Q417" s="18">
        <f>(O417+P417)</f>
        <v/>
      </c>
      <c r="S417" s="15">
        <f>H417</f>
        <v/>
      </c>
      <c r="T417" s="19">
        <f>IF(S417="ROCKIES",1.13,IF(S417="ATHLETICS",1.03,IF(S417="ROYALS",1.03,IF(S417="TWINS",1,IF(S417="TIGERS",1,IF(S417="MARLINS",1.01,IF(S417="REDS",1.05,IF(S417="RED SOX",1.04,IF(S417="YANKEES",1.02,IF(S417="DODGERS",0.99,IF(S417="PADRES",0.96,IF(S417="CUBS",0.98,IF(S417="GIANTS",0.97,IF(S417="MARINERS",0.94,IF(S417="RANGERS",1,IF(S417="ASTROS",0.99,IF(S417="BRAVES",1,IF(S417="METS",0.96,IF(S417="PHILLIES",1.02,IF(S417="BLUE JAYS",1.01,IF(S417="ORIOLES",0.99,IF(S417="RAYS",1.01,IF(S417="GUARDIANS",0.99,IF(S417="WHITE SOX",0.98,IF(S417="ANGELS",1.01,IF(S417="D-BACKS",1.01,IF(S417="BREWERS",0.99,IF(S417="CARDINALS",0.96,IF(S417="PIRATES",1.02,IF(S417="NATIONALS",1,1))))))))))))))))))))))))))))))*IF(W417="",1,(1+((W417-70)/10*0.035)))*IF(U417="DOME",1,IF(U417="IN",1-(V417*0.01),IF(U417="OUT",1+(V417*0.01),IF(OR(U417="L-R",U417="R-L"),1+(V417*0.005),1))))</f>
        <v/>
      </c>
      <c r="U417" t="inlineStr">
        <is>
          <t>DOME</t>
        </is>
      </c>
      <c r="V417" t="n">
        <v>0</v>
      </c>
      <c r="Y417">
        <f>B417 &amp; " vs. " &amp; H417</f>
        <v/>
      </c>
      <c r="Z417">
        <f>TRIM(LEFT(Y417, FIND("vs.", Y417)-1))</f>
        <v/>
      </c>
      <c r="AA417">
        <f>TRIM(MID(Y417, FIND(" vs. ", Y417)+4, 100))</f>
        <v/>
      </c>
      <c r="AB417" s="35">
        <f>IF(Q417 &gt; VALUE(AC417), "O " &amp; AC417, IF(Q417 &lt; VALUE(AC417), "U " &amp; AC417, AC417))</f>
        <v/>
      </c>
      <c r="AC417" s="15">
        <f>IF(OR(O417="-", P417="-"), "-", MROUND(O417 + P417, 0.5))</f>
        <v/>
      </c>
      <c r="AD417" s="15">
        <f>VALUE(TRIM(RIGHT(AF417, LEN(AF417) - FIND(" ", AF417))))</f>
        <v/>
      </c>
      <c r="AE417" s="15">
        <f>LEFT(AF417,FIND(" ",AF417)-1)</f>
        <v/>
      </c>
      <c r="AF417" s="15">
        <f>IF(OR(O417="-", P417="-"), "-",
IF(MROUND(ABS(O417-P417),0.5)&lt;=0.5,
IF(O417&gt;P417, B417 &amp; " ML", H417 &amp; " ML"),
IF(MROUND(ABS(O417-P417),0.5)=1,
IF(O417&gt;P417, H417 &amp; " +1.5", B417 &amp; " +1.5"),
IF(O417&gt;P417, B417 &amp; " -1.5", H417 &amp; " -1.5")
)
)
)</f>
        <v/>
      </c>
      <c r="AG417" s="15">
        <f>_xlfn.LET(
_xlpm.winA, O417^1.83 / (O417^1.83 + P417^1.83),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18">
      <c r="A418" s="81" t="n">
        <v>46127</v>
      </c>
      <c r="B418" t="inlineStr">
        <is>
          <t>MARINERS</t>
        </is>
      </c>
      <c r="C418">
        <f>VLOOKUP(B418, 'MLB Data'!$B$5:$D$34, 3, FALSE)</f>
        <v/>
      </c>
      <c r="D418" t="inlineStr">
        <is>
          <t>EMERSON HANCOCK</t>
        </is>
      </c>
      <c r="E418" t="n">
        <v>4.32</v>
      </c>
      <c r="F418" s="17">
        <f>VLOOKUP(B418, 'MLB Data'!$F$2:$H$34, 3, FALSE)</f>
        <v/>
      </c>
      <c r="G418" s="17">
        <f>IF((E418*0.6+F418*0.4)&lt;2.5, 2.8, IF((E418*0.6+F418*0.4)&gt;5.5, 5.2, (E418*0.6+F418*0.4)))</f>
        <v/>
      </c>
      <c r="H418" t="inlineStr">
        <is>
          <t>PADRES</t>
        </is>
      </c>
      <c r="I418">
        <f>VLOOKUP(H418, 'MLB Data'!$B$5:$D$34, 3, FALSE)</f>
        <v/>
      </c>
      <c r="J418" t="inlineStr">
        <is>
          <t>RANDY VÁSQUEZ</t>
        </is>
      </c>
      <c r="L418" s="17">
        <f>VLOOKUP(H418, 'MLB Data'!$F$2:$H$34, 3, FALSE)</f>
        <v/>
      </c>
      <c r="M418" s="17">
        <f>IF((K418*0.6+L418*0.4)&lt;2.5, 2.8, IF((K418*0.6+L418*0.4)&gt;5.5, 5.2, (K418*0.6+L418*0.4)))</f>
        <v/>
      </c>
      <c r="O418" s="18">
        <f>(C418/100) * 4.1 * (M418 / 4.2) * T418</f>
        <v/>
      </c>
      <c r="P418" s="18">
        <f>(I418/100) * 4.05 * (G418 / 4.2) * T418</f>
        <v/>
      </c>
      <c r="Q418" s="18">
        <f>(O418+P418)</f>
        <v/>
      </c>
      <c r="S418" s="15">
        <f>H418</f>
        <v/>
      </c>
      <c r="T418" s="19">
        <f>IF(S418="ROCKIES",1.13,IF(S418="ATHLETICS",1.03,IF(S418="ROYALS",1.03,IF(S418="TWINS",1,IF(S418="TIGERS",1,IF(S418="MARLINS",1.01,IF(S418="REDS",1.05,IF(S418="RED SOX",1.04,IF(S418="YANKEES",1.02,IF(S418="DODGERS",0.99,IF(S418="PADRES",0.96,IF(S418="CUBS",0.98,IF(S418="GIANTS",0.97,IF(S418="MARINERS",0.94,IF(S418="RANGERS",1,IF(S418="ASTROS",0.99,IF(S418="BRAVES",1,IF(S418="METS",0.96,IF(S418="PHILLIES",1.02,IF(S418="BLUE JAYS",1.01,IF(S418="ORIOLES",0.99,IF(S418="RAYS",1.01,IF(S418="GUARDIANS",0.99,IF(S418="WHITE SOX",0.98,IF(S418="ANGELS",1.01,IF(S418="D-BACKS",1.01,IF(S418="BREWERS",0.99,IF(S418="CARDINALS",0.96,IF(S418="PIRATES",1.02,IF(S418="NATIONALS",1,1))))))))))))))))))))))))))))))*IF(W418="",1,(1+((W418-70)/10*0.035)))*IF(U418="DOME",1,IF(U418="IN",1-(V418*0.01),IF(U418="OUT",1+(V418*0.01),IF(OR(U418="L-R",U418="R-L"),1+(V418*0.005),1))))</f>
        <v/>
      </c>
      <c r="U418" t="inlineStr">
        <is>
          <t>IN</t>
        </is>
      </c>
      <c r="V418" t="n">
        <v>10</v>
      </c>
      <c r="W418" t="n">
        <v>65</v>
      </c>
      <c r="Y418">
        <f>B418 &amp; " vs. " &amp; H418</f>
        <v/>
      </c>
      <c r="Z418">
        <f>TRIM(LEFT(Y418, FIND("vs.", Y418)-1))</f>
        <v/>
      </c>
      <c r="AA418">
        <f>TRIM(MID(Y418, FIND(" vs. ", Y418)+4, 100))</f>
        <v/>
      </c>
      <c r="AB418" s="35">
        <f>IF(Q418 &gt; VALUE(AC418), "O " &amp; AC418, IF(Q418 &lt; VALUE(AC418), "U " &amp; AC418, AC418))</f>
        <v/>
      </c>
      <c r="AC418" s="15">
        <f>IF(OR(O418="-", P418="-"), "-", MROUND(O418 + P418, 0.5))</f>
        <v/>
      </c>
      <c r="AD418" s="15">
        <f>VALUE(TRIM(RIGHT(AF418, LEN(AF418) - FIND(" ", AF418))))</f>
        <v/>
      </c>
      <c r="AE418" s="15">
        <f>LEFT(AF418,FIND(" ",AF418)-1)</f>
        <v/>
      </c>
      <c r="AF418" s="15">
        <f>IF(OR(O418="-", P418="-"), "-",
IF(MROUND(ABS(O418-P418),0.5)&lt;=0.5,
IF(O418&gt;P418, B418 &amp; " ML", H418 &amp; " ML"),
IF(MROUND(ABS(O418-P418),0.5)=1,
IF(O418&gt;P418, H418 &amp; " +1.5", B418 &amp; " +1.5"),
IF(O418&gt;P418, B418 &amp; " -1.5", H418 &amp; " -1.5")
)
)
)</f>
        <v/>
      </c>
      <c r="AG418" s="15">
        <f>_xlfn.LET(
_xlpm.winA, O418^1.83 / (O418^1.83 + P418^1.83),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19">
      <c r="A419" s="81" t="n">
        <v>46127</v>
      </c>
      <c r="B419" t="inlineStr">
        <is>
          <t>RANGERS</t>
        </is>
      </c>
      <c r="C419">
        <f>VLOOKUP(B419, 'MLB Data'!$B$5:$D$34, 3, FALSE)</f>
        <v/>
      </c>
      <c r="D419" t="inlineStr">
        <is>
          <t>KUMAR ROCKER</t>
        </is>
      </c>
      <c r="E419" t="n">
        <v>4.16</v>
      </c>
      <c r="F419" s="17">
        <f>VLOOKUP(B419, 'MLB Data'!$F$2:$H$34, 3, FALSE)</f>
        <v/>
      </c>
      <c r="G419" s="17">
        <f>IF((E419*0.6+F419*0.4)&lt;2.5, 2.8, IF((E419*0.6+F419*0.4)&gt;5.5, 5.2, (E419*0.6+F419*0.4)))</f>
        <v/>
      </c>
      <c r="H419" t="inlineStr">
        <is>
          <t>ATHLETICS</t>
        </is>
      </c>
      <c r="I419">
        <f>VLOOKUP(H419, 'MLB Data'!$B$5:$D$34, 3, FALSE)</f>
        <v/>
      </c>
      <c r="J419" t="inlineStr">
        <is>
          <t>J.T. GINN</t>
        </is>
      </c>
      <c r="K419" t="n">
        <v>3.53</v>
      </c>
      <c r="L419" s="17">
        <f>VLOOKUP(H419, 'MLB Data'!$F$2:$H$34, 3, FALSE)</f>
        <v/>
      </c>
      <c r="M419" s="17">
        <f>IF((K419*0.6+L419*0.4)&lt;2.5, 2.8, IF((K419*0.6+L419*0.4)&gt;5.5, 5.2, (K419*0.6+L419*0.4)))</f>
        <v/>
      </c>
      <c r="O419" s="18">
        <f>(C419/100) * 4.1 * (M419 / 4.2) * T419</f>
        <v/>
      </c>
      <c r="P419" s="18">
        <f>(I419/100) * 4.05 * (G419 / 4.2) * T419</f>
        <v/>
      </c>
      <c r="Q419" s="18">
        <f>(O419+P419)</f>
        <v/>
      </c>
      <c r="S419" s="15">
        <f>H419</f>
        <v/>
      </c>
      <c r="T419" s="19">
        <f>IF(S419="ROCKIES",1.13,IF(S419="ATHLETICS",1.03,IF(S419="ROYALS",1.03,IF(S419="TWINS",1,IF(S419="TIGERS",1,IF(S419="MARLINS",1.01,IF(S419="REDS",1.05,IF(S419="RED SOX",1.04,IF(S419="YANKEES",1.02,IF(S419="DODGERS",0.99,IF(S419="PADRES",0.96,IF(S419="CUBS",0.98,IF(S419="GIANTS",0.97,IF(S419="MARINERS",0.94,IF(S419="RANGERS",1,IF(S419="ASTROS",0.99,IF(S419="BRAVES",1,IF(S419="METS",0.96,IF(S419="PHILLIES",1.02,IF(S419="BLUE JAYS",1.01,IF(S419="ORIOLES",0.99,IF(S419="RAYS",1.01,IF(S419="GUARDIANS",0.99,IF(S419="WHITE SOX",0.98,IF(S419="ANGELS",1.01,IF(S419="D-BACKS",1.01,IF(S419="BREWERS",0.99,IF(S419="CARDINALS",0.96,IF(S419="PIRATES",1.02,IF(S419="NATIONALS",1,1))))))))))))))))))))))))))))))*IF(W419="",1,(1+((W419-70)/10*0.035)))*IF(U419="DOME",1,IF(U419="IN",1-(V419*0.01),IF(U419="OUT",1+(V419*0.01),IF(OR(U419="L-R",U419="R-L"),1+(V419*0.005),1))))</f>
        <v/>
      </c>
      <c r="U419" t="inlineStr">
        <is>
          <t>DOME</t>
        </is>
      </c>
      <c r="V419" t="n">
        <v>0</v>
      </c>
      <c r="Y419">
        <f>B419 &amp; " vs. " &amp; H419</f>
        <v/>
      </c>
      <c r="Z419">
        <f>TRIM(LEFT(Y419, FIND("vs.", Y419)-1))</f>
        <v/>
      </c>
      <c r="AA419">
        <f>TRIM(MID(Y419, FIND(" vs. ", Y419)+4, 100))</f>
        <v/>
      </c>
      <c r="AB419" s="35">
        <f>IF(Q419 &gt; VALUE(AC419), "O " &amp; AC419, IF(Q419 &lt; VALUE(AC419), "U " &amp; AC419, AC419))</f>
        <v/>
      </c>
      <c r="AC419" s="15">
        <f>IF(OR(O419="-", P419="-"), "-", MROUND(O419 + P419, 0.5))</f>
        <v/>
      </c>
      <c r="AD419" s="15">
        <f>VALUE(TRIM(RIGHT(AF419, LEN(AF419) - FIND(" ", AF419))))</f>
        <v/>
      </c>
      <c r="AE419" s="15">
        <f>LEFT(AF419,FIND(" ",AF419)-1)</f>
        <v/>
      </c>
      <c r="AF419" s="15">
        <f>IF(OR(O419="-", P419="-"), "-",
IF(MROUND(ABS(O419-P419),0.5)&lt;=0.5,
IF(O419&gt;P419, B419 &amp; " ML", H419 &amp; " ML"),
IF(MROUND(ABS(O419-P419),0.5)=1,
IF(O419&gt;P419, H419 &amp; " +1.5", B419 &amp; " +1.5"),
IF(O419&gt;P419, B419 &amp; " -1.5", H419 &amp; " -1.5")
)
)
)</f>
        <v/>
      </c>
      <c r="AG419" s="15">
        <f>_xlfn.LET(
_xlpm.winA, O419^1.83 / (O419^1.83 + P419^1.83),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20">
      <c r="A420" s="81" t="n">
        <v>46127</v>
      </c>
      <c r="B420" t="inlineStr">
        <is>
          <t>METS</t>
        </is>
      </c>
      <c r="C420">
        <f>VLOOKUP(B420, 'MLB Data'!$B$5:$D$34, 3, FALSE)</f>
        <v/>
      </c>
      <c r="D420" t="inlineStr">
        <is>
          <t>CLAY HOLMES</t>
        </is>
      </c>
      <c r="E420" t="n">
        <v>4.22</v>
      </c>
      <c r="F420" s="17">
        <f>VLOOKUP(B420, 'MLB Data'!$F$2:$H$34, 3, FALSE)</f>
        <v/>
      </c>
      <c r="G420" s="17">
        <f>IF((E420*0.6+F420*0.4)&lt;2.5, 2.8, IF((E420*0.6+F420*0.4)&gt;5.5, 5.2, (E420*0.6+F420*0.4)))</f>
        <v/>
      </c>
      <c r="H420" t="inlineStr">
        <is>
          <t>DODGERS</t>
        </is>
      </c>
      <c r="I420">
        <f>VLOOKUP(H420, 'MLB Data'!$B$5:$D$34, 3, FALSE)</f>
        <v/>
      </c>
      <c r="J420" t="inlineStr">
        <is>
          <t>SHOHEI OHTANI</t>
        </is>
      </c>
      <c r="K420" t="n">
        <v>2.9</v>
      </c>
      <c r="L420" s="17">
        <f>VLOOKUP(H420, 'MLB Data'!$F$2:$H$34, 3, FALSE)</f>
        <v/>
      </c>
      <c r="M420" s="17">
        <f>IF((K420*0.6+L420*0.4)&lt;2.5, 2.8, IF((K420*0.6+L420*0.4)&gt;5.5, 5.2, (K420*0.6+L420*0.4)))</f>
        <v/>
      </c>
      <c r="O420" s="18">
        <f>(C420/100) * 4.1 * (M420 / 4.2) * T420</f>
        <v/>
      </c>
      <c r="P420" s="18">
        <f>(I420/100) * 4.05 * (G420 / 4.2) * T420</f>
        <v/>
      </c>
      <c r="Q420" s="18">
        <f>(O420+P420)</f>
        <v/>
      </c>
      <c r="S420" s="15">
        <f>H420</f>
        <v/>
      </c>
      <c r="T420" s="19">
        <f>IF(S420="ROCKIES",1.13,IF(S420="ATHLETICS",1.03,IF(S420="ROYALS",1.03,IF(S420="TWINS",1,IF(S420="TIGERS",1,IF(S420="MARLINS",1.01,IF(S420="REDS",1.05,IF(S420="RED SOX",1.04,IF(S420="YANKEES",1.02,IF(S420="DODGERS",0.99,IF(S420="PADRES",0.96,IF(S420="CUBS",0.98,IF(S420="GIANTS",0.97,IF(S420="MARINERS",0.94,IF(S420="RANGERS",1,IF(S420="ASTROS",0.99,IF(S420="BRAVES",1,IF(S420="METS",0.96,IF(S420="PHILLIES",1.02,IF(S420="BLUE JAYS",1.01,IF(S420="ORIOLES",0.99,IF(S420="RAYS",1.01,IF(S420="GUARDIANS",0.99,IF(S420="WHITE SOX",0.98,IF(S420="ANGELS",1.01,IF(S420="D-BACKS",1.01,IF(S420="BREWERS",0.99,IF(S420="CARDINALS",0.96,IF(S420="PIRATES",1.02,IF(S420="NATIONALS",1,1))))))))))))))))))))))))))))))*IF(W420="",1,(1+((W420-70)/10*0.035)))*IF(U420="DOME",1,IF(U420="IN",1-(V420*0.01),IF(U420="OUT",1+(V420*0.01),IF(OR(U420="L-R",U420="R-L"),1+(V420*0.005),1))))</f>
        <v/>
      </c>
      <c r="U420" t="inlineStr">
        <is>
          <t>CROSS</t>
        </is>
      </c>
      <c r="V420" t="n">
        <v>9</v>
      </c>
      <c r="W420" t="n">
        <v>71</v>
      </c>
      <c r="Y420">
        <f>B420 &amp; " vs. " &amp; H420</f>
        <v/>
      </c>
      <c r="Z420">
        <f>TRIM(LEFT(Y420, FIND("vs.", Y420)-1))</f>
        <v/>
      </c>
      <c r="AA420">
        <f>TRIM(MID(Y420, FIND(" vs. ", Y420)+4, 100))</f>
        <v/>
      </c>
      <c r="AB420" s="35">
        <f>IF(Q420 &gt; VALUE(AC420), "O " &amp; AC420, IF(Q420 &lt; VALUE(AC420), "U " &amp; AC420, AC420))</f>
        <v/>
      </c>
      <c r="AC420" s="15">
        <f>IF(OR(O420="-", P420="-"), "-", MROUND(O420 + P420, 0.5))</f>
        <v/>
      </c>
      <c r="AD420" s="15">
        <f>VALUE(TRIM(RIGHT(AF420, LEN(AF420) - FIND(" ", AF420))))</f>
        <v/>
      </c>
      <c r="AE420" s="15">
        <f>LEFT(AF420,FIND(" ",AF420)-1)</f>
        <v/>
      </c>
      <c r="AF420" s="15">
        <f>IF(OR(O420="-", P420="-"), "-",
IF(MROUND(ABS(O420-P420),0.5)&lt;=0.5,
IF(O420&gt;P420, B420 &amp; " ML", H420 &amp; " ML"),
IF(MROUND(ABS(O420-P420),0.5)=1,
IF(O420&gt;P420, H420 &amp; " +1.5", B420 &amp; " +1.5"),
IF(O420&gt;P420, B420 &amp; " -1.5", H420 &amp; " -1.5")
)
)
)</f>
        <v/>
      </c>
      <c r="AG420" s="15">
        <f>_xlfn.LET(
_xlpm.winA, O420^1.83 / (O420^1.83 + P420^1.83),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21">
      <c r="A421" s="81" t="n">
        <v>46128</v>
      </c>
      <c r="B421" t="inlineStr">
        <is>
          <t>NATIONALS</t>
        </is>
      </c>
      <c r="C421">
        <f>VLOOKUP(B421, 'MLB Data'!$B$5:$D$34, 3, FALSE)</f>
        <v/>
      </c>
      <c r="D421" t="inlineStr">
        <is>
          <t>FOSTER GRIFFIN</t>
        </is>
      </c>
      <c r="E421" t="n">
        <v>4.5</v>
      </c>
      <c r="F421" s="17">
        <f>VLOOKUP(B421, 'MLB Data'!$F$2:$H$34, 3, FALSE)</f>
        <v/>
      </c>
      <c r="G421" s="17">
        <f>IF((E421*0.6+F421*0.4)&lt;2.5, 2.8, IF((E421*0.6+F421*0.4)&gt;5.5, 5.2, (E421*0.6+F421*0.4)))</f>
        <v/>
      </c>
      <c r="H421" t="inlineStr">
        <is>
          <t>PIRATES</t>
        </is>
      </c>
      <c r="I421">
        <f>VLOOKUP(H421, 'MLB Data'!$B$5:$D$34, 3, FALSE)</f>
        <v/>
      </c>
      <c r="J421" t="inlineStr">
        <is>
          <t>BRAXTON ASHCRAFT</t>
        </is>
      </c>
      <c r="K421" t="n">
        <v>3.15</v>
      </c>
      <c r="L421" s="17">
        <f>VLOOKUP(H421, 'MLB Data'!$F$2:$H$34, 3, FALSE)</f>
        <v/>
      </c>
      <c r="M421" s="17">
        <f>IF((K421*0.6+L421*0.4)&lt;2.5, 2.8, IF((K421*0.6+L421*0.4)&gt;5.5, 5.2, (K421*0.6+L421*0.4)))</f>
        <v/>
      </c>
      <c r="O421" s="18">
        <f>(C421/100) * 4.1 * (M421 / 4.2) * T421</f>
        <v/>
      </c>
      <c r="P421" s="18">
        <f>(I421/100) * 4.05 * (G421 / 4.2) * T421</f>
        <v/>
      </c>
      <c r="Q421" s="18">
        <f>(O421+P421)</f>
        <v/>
      </c>
      <c r="S421" s="15">
        <f>H421</f>
        <v/>
      </c>
      <c r="T421" s="19">
        <f>IF(S421="ROCKIES",1.13,IF(S421="ATHLETICS",1.03,IF(S421="ROYALS",1.03,IF(S421="TWINS",1,IF(S421="TIGERS",1,IF(S421="MARLINS",1.01,IF(S421="REDS",1.05,IF(S421="RED SOX",1.04,IF(S421="YANKEES",1.02,IF(S421="DODGERS",0.99,IF(S421="PADRES",0.96,IF(S421="CUBS",0.98,IF(S421="GIANTS",0.97,IF(S421="MARINERS",0.94,IF(S421="RANGERS",1,IF(S421="ASTROS",0.99,IF(S421="BRAVES",1,IF(S421="METS",0.96,IF(S421="PHILLIES",1.02,IF(S421="BLUE JAYS",1.01,IF(S421="ORIOLES",0.99,IF(S421="RAYS",1.01,IF(S421="GUARDIANS",0.99,IF(S421="WHITE SOX",0.98,IF(S421="ANGELS",1.01,IF(S421="D-BACKS",1.01,IF(S421="BREWERS",0.99,IF(S421="CARDINALS",0.96,IF(S421="PIRATES",1.02,IF(S421="NATIONALS",1,1))))))))))))))))))))))))))))))*IF(W421="",1,(1+((W421-70)/10*0.035)))*IF(U421="DOME",1,IF(U421="IN",1-(V421*0.01),IF(U421="OUT",1+(V421*0.01),IF(OR(U421="L-R",U421="R-L"),1+(V421*0.005),1))))</f>
        <v/>
      </c>
      <c r="U421" t="inlineStr">
        <is>
          <t>CROSS</t>
        </is>
      </c>
      <c r="V421" t="n">
        <v>13</v>
      </c>
      <c r="W421" t="n">
        <v>82</v>
      </c>
      <c r="Y421">
        <f>B421 &amp; " vs. " &amp; H421</f>
        <v/>
      </c>
      <c r="Z421">
        <f>TRIM(LEFT(Y421, FIND("vs.", Y421)-1))</f>
        <v/>
      </c>
      <c r="AA421">
        <f>TRIM(MID(Y421, FIND(" vs. ", Y421)+4, 100))</f>
        <v/>
      </c>
      <c r="AB421" s="35">
        <f>IF(Q421 &gt; VALUE(AC421), "O " &amp; AC421, IF(Q421 &lt; VALUE(AC421), "U " &amp; AC421, AC421))</f>
        <v/>
      </c>
      <c r="AC421" s="15">
        <f>IF(OR(O421="-", P421="-"), "-", MROUND(O421 + P421, 0.5))</f>
        <v/>
      </c>
      <c r="AD421" s="15">
        <f>VALUE(TRIM(RIGHT(AF421, LEN(AF421) - FIND(" ", AF421))))</f>
        <v/>
      </c>
      <c r="AE421" s="15">
        <f>LEFT(AF421,FIND(" ",AF421)-1)</f>
        <v/>
      </c>
      <c r="AF421" s="15">
        <f>IF(OR(O421="-", P421="-"), "-",
IF(MROUND(ABS(O421-P421),0.5)&lt;=0.5,
IF(O421&gt;P421, B421 &amp; " ML", H421 &amp; " ML"),
IF(MROUND(ABS(O421-P421),0.5)=1,
IF(O421&gt;P421, H421 &amp; " +1.5", B421 &amp; " +1.5"),
IF(O421&gt;P421, B421 &amp; " -1.5", H421 &amp; " -1.5")
)
)
)</f>
        <v/>
      </c>
      <c r="AG421" s="15">
        <f>_xlfn.LET(
_xlpm.winA, O421^1.83 / (O421^1.83 + P421^1.83),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22">
      <c r="A422" s="81" t="n">
        <v>46128</v>
      </c>
      <c r="B422" t="inlineStr">
        <is>
          <t>GIANTS</t>
        </is>
      </c>
      <c r="C422">
        <f>VLOOKUP(B422, 'MLB Data'!$B$5:$D$34, 3, FALSE)</f>
        <v/>
      </c>
      <c r="D422" t="inlineStr">
        <is>
          <t>LANDEN ROUPP</t>
        </is>
      </c>
      <c r="E422" t="n">
        <v>3.97</v>
      </c>
      <c r="F422" s="17">
        <f>VLOOKUP(B422, 'MLB Data'!$F$2:$H$34, 3, FALSE)</f>
        <v/>
      </c>
      <c r="G422" s="17">
        <f>IF((E422*0.6+F422*0.4)&lt;2.5, 2.8, IF((E422*0.6+F422*0.4)&gt;5.5, 5.2, (E422*0.6+F422*0.4)))</f>
        <v/>
      </c>
      <c r="H422" t="inlineStr">
        <is>
          <t>REDS</t>
        </is>
      </c>
      <c r="I422">
        <f>VLOOKUP(H422, 'MLB Data'!$B$5:$D$34, 3, FALSE)</f>
        <v/>
      </c>
      <c r="J422" t="inlineStr">
        <is>
          <t>CHASE BURNS</t>
        </is>
      </c>
      <c r="K422" t="n">
        <v>2.5</v>
      </c>
      <c r="L422" s="17">
        <f>VLOOKUP(H422, 'MLB Data'!$F$2:$H$34, 3, FALSE)</f>
        <v/>
      </c>
      <c r="M422" s="17">
        <f>IF((K422*0.6+L422*0.4)&lt;2.5, 2.8, IF((K422*0.6+L422*0.4)&gt;5.5, 5.2, (K422*0.6+L422*0.4)))</f>
        <v/>
      </c>
      <c r="O422" s="18">
        <f>(C422/100) * 4.1 * (M422 / 4.2) * T422</f>
        <v/>
      </c>
      <c r="P422" s="18">
        <f>(I422/100) * 4.05 * (G422 / 4.2) * T422</f>
        <v/>
      </c>
      <c r="Q422" s="18">
        <f>(O422+P422)</f>
        <v/>
      </c>
      <c r="S422" s="15">
        <f>H422</f>
        <v/>
      </c>
      <c r="T422" s="19">
        <f>IF(S422="ROCKIES",1.13,IF(S422="ATHLETICS",1.03,IF(S422="ROYALS",1.03,IF(S422="TWINS",1,IF(S422="TIGERS",1,IF(S422="MARLINS",1.01,IF(S422="REDS",1.05,IF(S422="RED SOX",1.04,IF(S422="YANKEES",1.02,IF(S422="DODGERS",0.99,IF(S422="PADRES",0.96,IF(S422="CUBS",0.98,IF(S422="GIANTS",0.97,IF(S422="MARINERS",0.94,IF(S422="RANGERS",1,IF(S422="ASTROS",0.99,IF(S422="BRAVES",1,IF(S422="METS",0.96,IF(S422="PHILLIES",1.02,IF(S422="BLUE JAYS",1.01,IF(S422="ORIOLES",0.99,IF(S422="RAYS",1.01,IF(S422="GUARDIANS",0.99,IF(S422="WHITE SOX",0.98,IF(S422="ANGELS",1.01,IF(S422="D-BACKS",1.01,IF(S422="BREWERS",0.99,IF(S422="CARDINALS",0.96,IF(S422="PIRATES",1.02,IF(S422="NATIONALS",1,1))))))))))))))))))))))))))))))*IF(W422="",1,(1+((W422-70)/10*0.035)))*IF(U422="DOME",1,IF(U422="IN",1-(V422*0.01),IF(U422="OUT",1+(V422*0.01),IF(OR(U422="L-R",U422="R-L"),1+(V422*0.005),1))))</f>
        <v/>
      </c>
      <c r="U422" t="inlineStr">
        <is>
          <t>OUT</t>
        </is>
      </c>
      <c r="V422" t="n">
        <v>13</v>
      </c>
      <c r="W422" t="n">
        <v>81</v>
      </c>
      <c r="Y422">
        <f>B422 &amp; " vs. " &amp; H422</f>
        <v/>
      </c>
      <c r="Z422">
        <f>TRIM(LEFT(Y422, FIND("vs.", Y422)-1))</f>
        <v/>
      </c>
      <c r="AA422">
        <f>TRIM(MID(Y422, FIND(" vs. ", Y422)+4, 100))</f>
        <v/>
      </c>
      <c r="AB422" s="35">
        <f>IF(Q422 &gt; VALUE(AC422), "O " &amp; AC422, IF(Q422 &lt; VALUE(AC422), "U " &amp; AC422, AC422))</f>
        <v/>
      </c>
      <c r="AC422" s="15">
        <f>IF(OR(O422="-", P422="-"), "-", MROUND(O422 + P422, 0.5))</f>
        <v/>
      </c>
      <c r="AD422" s="15">
        <f>VALUE(TRIM(RIGHT(AF422, LEN(AF422) - FIND(" ", AF422))))</f>
        <v/>
      </c>
      <c r="AE422" s="15">
        <f>LEFT(AF422,FIND(" ",AF422)-1)</f>
        <v/>
      </c>
      <c r="AF422" s="15">
        <f>IF(OR(O422="-", P422="-"), "-",
IF(MROUND(ABS(O422-P422),0.5)&lt;=0.5,
IF(O422&gt;P422, B422 &amp; " ML", H422 &amp; " ML"),
IF(MROUND(ABS(O422-P422),0.5)=1,
IF(O422&gt;P422, H422 &amp; " +1.5", B422 &amp; " +1.5"),
IF(O422&gt;P422, B422 &amp; " -1.5", H422 &amp; " -1.5")
)
)
)</f>
        <v/>
      </c>
      <c r="AG422" s="15">
        <f>_xlfn.LET(
_xlpm.winA, O422^1.83 / (O422^1.83 + P422^1.83),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23">
      <c r="A423" s="81" t="n">
        <v>46128</v>
      </c>
      <c r="B423" t="inlineStr">
        <is>
          <t>ROYALS</t>
        </is>
      </c>
      <c r="C423">
        <f>VLOOKUP(B423, 'MLB Data'!$B$5:$D$34, 3, FALSE)</f>
        <v/>
      </c>
      <c r="D423" t="inlineStr">
        <is>
          <t>KRIS BUBIC</t>
        </is>
      </c>
      <c r="E423" t="n">
        <v>3.59</v>
      </c>
      <c r="F423" s="17">
        <f>VLOOKUP(B423, 'MLB Data'!$F$2:$H$34, 3, FALSE)</f>
        <v/>
      </c>
      <c r="G423" s="17">
        <f>IF((E423*0.6+F423*0.4)&lt;2.5, 2.8, IF((E423*0.6+F423*0.4)&gt;5.5, 5.2, (E423*0.6+F423*0.4)))</f>
        <v/>
      </c>
      <c r="H423" t="inlineStr">
        <is>
          <t>TIGERS</t>
        </is>
      </c>
      <c r="I423">
        <f>VLOOKUP(H423, 'MLB Data'!$B$5:$D$34, 3, FALSE)</f>
        <v/>
      </c>
      <c r="J423" t="inlineStr">
        <is>
          <t>KEIDER MONTERO</t>
        </is>
      </c>
      <c r="K423" t="n">
        <v>4.4</v>
      </c>
      <c r="L423" s="17">
        <f>VLOOKUP(H423, 'MLB Data'!$F$2:$H$34, 3, FALSE)</f>
        <v/>
      </c>
      <c r="M423" s="17">
        <f>IF((K423*0.6+L423*0.4)&lt;2.5, 2.8, IF((K423*0.6+L423*0.4)&gt;5.5, 5.2, (K423*0.6+L423*0.4)))</f>
        <v/>
      </c>
      <c r="O423" s="18">
        <f>(C423/100) * 4.1 * (M423 / 4.2) * T423</f>
        <v/>
      </c>
      <c r="P423" s="18">
        <f>(I423/100) * 4.05 * (G423 / 4.2) * T423</f>
        <v/>
      </c>
      <c r="Q423" s="18">
        <f>(O423+P423)</f>
        <v/>
      </c>
      <c r="S423" s="15">
        <f>H423</f>
        <v/>
      </c>
      <c r="T423" s="19">
        <f>IF(S423="ROCKIES",1.13,IF(S423="ATHLETICS",1.03,IF(S423="ROYALS",1.03,IF(S423="TWINS",1,IF(S423="TIGERS",1,IF(S423="MARLINS",1.01,IF(S423="REDS",1.05,IF(S423="RED SOX",1.04,IF(S423="YANKEES",1.02,IF(S423="DODGERS",0.99,IF(S423="PADRES",0.96,IF(S423="CUBS",0.98,IF(S423="GIANTS",0.97,IF(S423="MARINERS",0.94,IF(S423="RANGERS",1,IF(S423="ASTROS",0.99,IF(S423="BRAVES",1,IF(S423="METS",0.96,IF(S423="PHILLIES",1.02,IF(S423="BLUE JAYS",1.01,IF(S423="ORIOLES",0.99,IF(S423="RAYS",1.01,IF(S423="GUARDIANS",0.99,IF(S423="WHITE SOX",0.98,IF(S423="ANGELS",1.01,IF(S423="D-BACKS",1.01,IF(S423="BREWERS",0.99,IF(S423="CARDINALS",0.96,IF(S423="PIRATES",1.02,IF(S423="NATIONALS",1,1))))))))))))))))))))))))))))))*IF(W423="",1,(1+((W423-70)/10*0.035)))*IF(U423="DOME",1,IF(U423="IN",1-(V423*0.01),IF(U423="OUT",1+(V423*0.01),IF(OR(U423="L-R",U423="R-L"),1+(V423*0.005),1))))</f>
        <v/>
      </c>
      <c r="U423" t="inlineStr">
        <is>
          <t>CROSS</t>
        </is>
      </c>
      <c r="V423" t="n">
        <v>12</v>
      </c>
      <c r="W423" t="n">
        <v>64</v>
      </c>
      <c r="Y423">
        <f>B423 &amp; " vs. " &amp; H423</f>
        <v/>
      </c>
      <c r="Z423">
        <f>TRIM(LEFT(Y423, FIND("vs.", Y423)-1))</f>
        <v/>
      </c>
      <c r="AA423">
        <f>TRIM(MID(Y423, FIND(" vs. ", Y423)+4, 100))</f>
        <v/>
      </c>
      <c r="AB423" s="35">
        <f>IF(Q423 &gt; VALUE(AC423), "O " &amp; AC423, IF(Q423 &lt; VALUE(AC423), "U " &amp; AC423, AC423))</f>
        <v/>
      </c>
      <c r="AC423" s="15">
        <f>IF(OR(O423="-", P423="-"), "-", MROUND(O423 + P423, 0.5))</f>
        <v/>
      </c>
      <c r="AD423" s="15">
        <f>VALUE(TRIM(RIGHT(AF423, LEN(AF423) - FIND(" ", AF423))))</f>
        <v/>
      </c>
      <c r="AE423" s="15">
        <f>LEFT(AF423,FIND(" ",AF423)-1)</f>
        <v/>
      </c>
      <c r="AF423" s="15">
        <f>IF(OR(O423="-", P423="-"), "-",
IF(MROUND(ABS(O423-P423),0.5)&lt;=0.5,
IF(O423&gt;P423, B423 &amp; " ML", H423 &amp; " ML"),
IF(MROUND(ABS(O423-P423),0.5)=1,
IF(O423&gt;P423, H423 &amp; " +1.5", B423 &amp; " +1.5"),
IF(O423&gt;P423, B423 &amp; " -1.5", H423 &amp; " -1.5")
)
)
)</f>
        <v/>
      </c>
      <c r="AG423" s="15">
        <f>_xlfn.LET(
_xlpm.winA, O423^1.83 / (O423^1.83 + P423^1.83),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24">
      <c r="A424" s="81" t="n">
        <v>46128</v>
      </c>
      <c r="B424" t="inlineStr">
        <is>
          <t>ANGELS</t>
        </is>
      </c>
      <c r="C424">
        <f>VLOOKUP(B424, 'MLB Data'!$B$5:$D$34, 3, FALSE)</f>
        <v/>
      </c>
      <c r="D424" t="inlineStr">
        <is>
          <t>TBD</t>
        </is>
      </c>
      <c r="F424" s="17">
        <f>VLOOKUP(B424, 'MLB Data'!$F$2:$H$34, 3, FALSE)</f>
        <v/>
      </c>
      <c r="G424" s="17">
        <f>IF((E424*0.6+F424*0.4)&lt;2.5, 2.8, IF((E424*0.6+F424*0.4)&gt;5.5, 5.2, (E424*0.6+F424*0.4)))</f>
        <v/>
      </c>
      <c r="H424" t="inlineStr">
        <is>
          <t>YANKEES</t>
        </is>
      </c>
      <c r="I424">
        <f>VLOOKUP(H424, 'MLB Data'!$B$5:$D$34, 3, FALSE)</f>
        <v/>
      </c>
      <c r="J424" t="inlineStr">
        <is>
          <t>MAX FRIED</t>
        </is>
      </c>
      <c r="K424" t="n">
        <v>3.45</v>
      </c>
      <c r="L424" s="17">
        <f>VLOOKUP(H424, 'MLB Data'!$F$2:$H$34, 3, FALSE)</f>
        <v/>
      </c>
      <c r="M424" s="17">
        <f>IF((K424*0.6+L424*0.4)&lt;2.5, 2.8, IF((K424*0.6+L424*0.4)&gt;5.5, 5.2, (K424*0.6+L424*0.4)))</f>
        <v/>
      </c>
      <c r="O424" s="18">
        <f>(C424/100) * 4.1 * (M424 / 4.2) * T424</f>
        <v/>
      </c>
      <c r="P424" s="18">
        <f>(I424/100) * 4.05 * (G424 / 4.2) * T424</f>
        <v/>
      </c>
      <c r="Q424" s="18">
        <f>(O424+P424)</f>
        <v/>
      </c>
      <c r="S424" s="15">
        <f>H424</f>
        <v/>
      </c>
      <c r="T424" s="19">
        <f>IF(S424="ROCKIES",1.13,IF(S424="ATHLETICS",1.03,IF(S424="ROYALS",1.03,IF(S424="TWINS",1,IF(S424="TIGERS",1,IF(S424="MARLINS",1.01,IF(S424="REDS",1.05,IF(S424="RED SOX",1.04,IF(S424="YANKEES",1.02,IF(S424="DODGERS",0.99,IF(S424="PADRES",0.96,IF(S424="CUBS",0.98,IF(S424="GIANTS",0.97,IF(S424="MARINERS",0.94,IF(S424="RANGERS",1,IF(S424="ASTROS",0.99,IF(S424="BRAVES",1,IF(S424="METS",0.96,IF(S424="PHILLIES",1.02,IF(S424="BLUE JAYS",1.01,IF(S424="ORIOLES",0.99,IF(S424="RAYS",1.01,IF(S424="GUARDIANS",0.99,IF(S424="WHITE SOX",0.98,IF(S424="ANGELS",1.01,IF(S424="D-BACKS",1.01,IF(S424="BREWERS",0.99,IF(S424="CARDINALS",0.96,IF(S424="PIRATES",1.02,IF(S424="NATIONALS",1,1))))))))))))))))))))))))))))))*IF(W424="",1,(1+((W424-70)/10*0.035)))*IF(U424="DOME",1,IF(U424="IN",1-(V424*0.01),IF(U424="OUT",1+(V424*0.01),IF(OR(U424="L-R",U424="R-L"),1+(V424*0.005),1))))</f>
        <v/>
      </c>
      <c r="U424" t="inlineStr">
        <is>
          <t>OUT</t>
        </is>
      </c>
      <c r="V424" t="n">
        <v>9</v>
      </c>
      <c r="W424" t="n">
        <v>82</v>
      </c>
      <c r="Y424">
        <f>B424 &amp; " vs. " &amp; H424</f>
        <v/>
      </c>
      <c r="Z424">
        <f>TRIM(LEFT(Y424, FIND("vs.", Y424)-1))</f>
        <v/>
      </c>
      <c r="AA424">
        <f>TRIM(MID(Y424, FIND(" vs. ", Y424)+4, 100))</f>
        <v/>
      </c>
      <c r="AB424" s="35">
        <f>IF(Q424 &gt; VALUE(AC424), "O " &amp; AC424, IF(Q424 &lt; VALUE(AC424), "U " &amp; AC424, AC424))</f>
        <v/>
      </c>
      <c r="AC424" s="15">
        <f>IF(OR(O424="-", P424="-"), "-", MROUND(O424 + P424, 0.5))</f>
        <v/>
      </c>
      <c r="AD424" s="15">
        <f>VALUE(TRIM(RIGHT(AF424, LEN(AF424) - FIND(" ", AF424))))</f>
        <v/>
      </c>
      <c r="AE424" s="15">
        <f>LEFT(AF424,FIND(" ",AF424)-1)</f>
        <v/>
      </c>
      <c r="AF424" s="15">
        <f>IF(OR(O424="-", P424="-"), "-",
IF(MROUND(ABS(O424-P424),0.5)&lt;=0.5,
IF(O424&gt;P424, B424 &amp; " ML", H424 &amp; " ML"),
IF(MROUND(ABS(O424-P424),0.5)=1,
IF(O424&gt;P424, H424 &amp; " +1.5", B424 &amp; " +1.5"),
IF(O424&gt;P424, B424 &amp; " -1.5", H424 &amp; " -1.5")
)
)
)</f>
        <v/>
      </c>
      <c r="AG424" s="15">
        <f>_xlfn.LET(
_xlpm.winA, O424^1.83 / (O424^1.83 + P424^1.83),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25">
      <c r="A425" s="81" t="n">
        <v>46128</v>
      </c>
      <c r="B425" t="inlineStr">
        <is>
          <t>BLUE JAYS</t>
        </is>
      </c>
      <c r="C425">
        <f>VLOOKUP(B425, 'MLB Data'!$B$5:$D$34, 3, FALSE)</f>
        <v/>
      </c>
      <c r="D425" t="inlineStr">
        <is>
          <t>PATRICK CORBIN</t>
        </is>
      </c>
      <c r="E425" t="n">
        <v>4.45</v>
      </c>
      <c r="F425" s="17">
        <f>VLOOKUP(B425, 'MLB Data'!$F$2:$H$34, 3, FALSE)</f>
        <v/>
      </c>
      <c r="G425" s="17">
        <f>IF((E425*0.6+F425*0.4)&lt;2.5, 2.8, IF((E425*0.6+F425*0.4)&gt;5.5, 5.2, (E425*0.6+F425*0.4)))</f>
        <v/>
      </c>
      <c r="H425" t="inlineStr">
        <is>
          <t>BREWERS</t>
        </is>
      </c>
      <c r="I425">
        <f>VLOOKUP(H425, 'MLB Data'!$B$5:$D$34, 3, FALSE)</f>
        <v/>
      </c>
      <c r="J425" t="inlineStr">
        <is>
          <t>BRANDON SPROAT</t>
        </is>
      </c>
      <c r="K425" t="n">
        <v>4.23</v>
      </c>
      <c r="L425" s="17">
        <f>VLOOKUP(H425, 'MLB Data'!$F$2:$H$34, 3, FALSE)</f>
        <v/>
      </c>
      <c r="M425" s="17">
        <f>IF((K425*0.6+L425*0.4)&lt;2.5, 2.8, IF((K425*0.6+L425*0.4)&gt;5.5, 5.2, (K425*0.6+L425*0.4)))</f>
        <v/>
      </c>
      <c r="O425" s="18">
        <f>(C425/100) * 4.1 * (M425 / 4.2) * T425</f>
        <v/>
      </c>
      <c r="P425" s="18">
        <f>(I425/100) * 4.05 * (G425 / 4.2) * T425</f>
        <v/>
      </c>
      <c r="Q425" s="18">
        <f>(O425+P425)</f>
        <v/>
      </c>
      <c r="S425" s="15">
        <f>H425</f>
        <v/>
      </c>
      <c r="T425" s="19">
        <f>IF(S425="ROCKIES",1.13,IF(S425="ATHLETICS",1.03,IF(S425="ROYALS",1.03,IF(S425="TWINS",1,IF(S425="TIGERS",1,IF(S425="MARLINS",1.01,IF(S425="REDS",1.05,IF(S425="RED SOX",1.04,IF(S425="YANKEES",1.02,IF(S425="DODGERS",0.99,IF(S425="PADRES",0.96,IF(S425="CUBS",0.98,IF(S425="GIANTS",0.97,IF(S425="MARINERS",0.94,IF(S425="RANGERS",1,IF(S425="ASTROS",0.99,IF(S425="BRAVES",1,IF(S425="METS",0.96,IF(S425="PHILLIES",1.02,IF(S425="BLUE JAYS",1.01,IF(S425="ORIOLES",0.99,IF(S425="RAYS",1.01,IF(S425="GUARDIANS",0.99,IF(S425="WHITE SOX",0.98,IF(S425="ANGELS",1.01,IF(S425="D-BACKS",1.01,IF(S425="BREWERS",0.99,IF(S425="CARDINALS",0.96,IF(S425="PIRATES",1.02,IF(S425="NATIONALS",1,1))))))))))))))))))))))))))))))*IF(W425="",1,(1+((W425-70)/10*0.035)))*IF(U425="DOME",1,IF(U425="IN",1-(V425*0.01),IF(U425="OUT",1+(V425*0.01),IF(OR(U425="L-R",U425="R-L"),1+(V425*0.005),1))))</f>
        <v/>
      </c>
      <c r="U425" t="inlineStr">
        <is>
          <t>DOME</t>
        </is>
      </c>
      <c r="V425" t="n">
        <v>0</v>
      </c>
      <c r="Y425">
        <f>B425 &amp; " vs. " &amp; H425</f>
        <v/>
      </c>
      <c r="Z425">
        <f>TRIM(LEFT(Y425, FIND("vs.", Y425)-1))</f>
        <v/>
      </c>
      <c r="AA425">
        <f>TRIM(MID(Y425, FIND(" vs. ", Y425)+4, 100))</f>
        <v/>
      </c>
      <c r="AB425" s="35">
        <f>IF(Q425 &gt; VALUE(AC425), "O " &amp; AC425, IF(Q425 &lt; VALUE(AC425), "U " &amp; AC425, AC425))</f>
        <v/>
      </c>
      <c r="AC425" s="15">
        <f>IF(OR(O425="-", P425="-"), "-", MROUND(O425 + P425, 0.5))</f>
        <v/>
      </c>
      <c r="AD425" s="15">
        <f>VALUE(TRIM(RIGHT(AF425, LEN(AF425) - FIND(" ", AF425))))</f>
        <v/>
      </c>
      <c r="AE425" s="15">
        <f>LEFT(AF425,FIND(" ",AF425)-1)</f>
        <v/>
      </c>
      <c r="AF425" s="15">
        <f>IF(OR(O425="-", P425="-"), "-",
IF(MROUND(ABS(O425-P425),0.5)&lt;=0.5,
IF(O425&gt;P425, B425 &amp; " ML", H425 &amp; " ML"),
IF(MROUND(ABS(O425-P425),0.5)=1,
IF(O425&gt;P425, H425 &amp; " +1.5", B425 &amp; " +1.5"),
IF(O425&gt;P425, B425 &amp; " -1.5", H425 &amp; " -1.5")
)
)
)</f>
        <v/>
      </c>
      <c r="AG425" s="15">
        <f>_xlfn.LET(
_xlpm.winA, O425^1.83 / (O425^1.83 + P425^1.83),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26">
      <c r="A426" s="81" t="n">
        <v>46128</v>
      </c>
      <c r="B426" t="inlineStr">
        <is>
          <t>RAYS</t>
        </is>
      </c>
      <c r="C426">
        <f>VLOOKUP(B426, 'MLB Data'!$B$5:$D$34, 3, FALSE)</f>
        <v/>
      </c>
      <c r="D426" t="inlineStr">
        <is>
          <t>STEVEN MATZ</t>
        </is>
      </c>
      <c r="E426" t="n">
        <v>2.07</v>
      </c>
      <c r="F426" s="17">
        <f>VLOOKUP(B426, 'MLB Data'!$F$2:$H$34, 3, FALSE)</f>
        <v/>
      </c>
      <c r="G426" s="17">
        <f>IF((E426*0.6+F426*0.4)&lt;2.5, 2.8, IF((E426*0.6+F426*0.4)&gt;5.5, 5.2, (E426*0.6+F426*0.4)))</f>
        <v/>
      </c>
      <c r="H426" t="inlineStr">
        <is>
          <t>WHITE SOX</t>
        </is>
      </c>
      <c r="I426">
        <f>VLOOKUP(H426, 'MLB Data'!$B$5:$D$34, 3, FALSE)</f>
        <v/>
      </c>
      <c r="J426" t="inlineStr">
        <is>
          <t>JORDAN LEASURE</t>
        </is>
      </c>
      <c r="K426" t="n">
        <v>4.22</v>
      </c>
      <c r="L426" s="17">
        <f>VLOOKUP(H426, 'MLB Data'!$F$2:$H$34, 3, FALSE)</f>
        <v/>
      </c>
      <c r="M426" s="17">
        <f>IF((K426*0.6+L426*0.4)&lt;2.5, 2.8, IF((K426*0.6+L426*0.4)&gt;5.5, 5.2, (K426*0.6+L426*0.4)))</f>
        <v/>
      </c>
      <c r="O426" s="18">
        <f>(C426/100) * 4.1 * (M426 / 4.2) * T426</f>
        <v/>
      </c>
      <c r="P426" s="18">
        <f>(I426/100) * 4.05 * (G426 / 4.2) * T426</f>
        <v/>
      </c>
      <c r="Q426" s="18">
        <f>(O426+P426)</f>
        <v/>
      </c>
      <c r="S426" s="15">
        <f>H426</f>
        <v/>
      </c>
      <c r="T426" s="19">
        <f>IF(S426="ROCKIES",1.13,IF(S426="ATHLETICS",1.03,IF(S426="ROYALS",1.03,IF(S426="TWINS",1,IF(S426="TIGERS",1,IF(S426="MARLINS",1.01,IF(S426="REDS",1.05,IF(S426="RED SOX",1.04,IF(S426="YANKEES",1.02,IF(S426="DODGERS",0.99,IF(S426="PADRES",0.96,IF(S426="CUBS",0.98,IF(S426="GIANTS",0.97,IF(S426="MARINERS",0.94,IF(S426="RANGERS",1,IF(S426="ASTROS",0.99,IF(S426="BRAVES",1,IF(S426="METS",0.96,IF(S426="PHILLIES",1.02,IF(S426="BLUE JAYS",1.01,IF(S426="ORIOLES",0.99,IF(S426="RAYS",1.01,IF(S426="GUARDIANS",0.99,IF(S426="WHITE SOX",0.98,IF(S426="ANGELS",1.01,IF(S426="D-BACKS",1.01,IF(S426="BREWERS",0.99,IF(S426="CARDINALS",0.96,IF(S426="PIRATES",1.02,IF(S426="NATIONALS",1,1))))))))))))))))))))))))))))))*IF(W426="",1,(1+((W426-70)/10*0.035)))*IF(U426="DOME",1,IF(U426="IN",1-(V426*0.01),IF(U426="OUT",1+(V426*0.01),IF(OR(U426="L-R",U426="R-L"),1+(V426*0.005),1))))</f>
        <v/>
      </c>
      <c r="U426" t="inlineStr">
        <is>
          <t>CROSS</t>
        </is>
      </c>
      <c r="V426" t="n">
        <v>11</v>
      </c>
      <c r="W426" t="n">
        <v>62</v>
      </c>
      <c r="Y426">
        <f>B426 &amp; " vs. " &amp; H426</f>
        <v/>
      </c>
      <c r="Z426">
        <f>TRIM(LEFT(Y426, FIND("vs.", Y426)-1))</f>
        <v/>
      </c>
      <c r="AA426">
        <f>TRIM(MID(Y426, FIND(" vs. ", Y426)+4, 100))</f>
        <v/>
      </c>
      <c r="AB426" s="35">
        <f>IF(Q426 &gt; VALUE(AC426), "O " &amp; AC426, IF(Q426 &lt; VALUE(AC426), "U " &amp; AC426, AC426))</f>
        <v/>
      </c>
      <c r="AC426" s="15">
        <f>IF(OR(O426="-", P426="-"), "-", MROUND(O426 + P426, 0.5))</f>
        <v/>
      </c>
      <c r="AD426" s="15">
        <f>VALUE(TRIM(RIGHT(AF426, LEN(AF426) - FIND(" ", AF426))))</f>
        <v/>
      </c>
      <c r="AE426" s="15">
        <f>LEFT(AF426,FIND(" ",AF426)-1)</f>
        <v/>
      </c>
      <c r="AF426" s="15">
        <f>IF(OR(O426="-", P426="-"), "-",
IF(MROUND(ABS(O426-P426),0.5)&lt;=0.5,
IF(O426&gt;P426, B426 &amp; " ML", H426 &amp; " ML"),
IF(MROUND(ABS(O426-P426),0.5)=1,
IF(O426&gt;P426, H426 &amp; " +1.5", B426 &amp; " +1.5"),
IF(O426&gt;P426, B426 &amp; " -1.5", H426 &amp; " -1.5")
)
)
)</f>
        <v/>
      </c>
      <c r="AG426" s="15">
        <f>_xlfn.LET(
_xlpm.winA, O426^1.83 / (O426^1.83 + P426^1.83),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27">
      <c r="A427" s="81" t="n">
        <v>46128</v>
      </c>
      <c r="B427" t="inlineStr">
        <is>
          <t>RANGERS</t>
        </is>
      </c>
      <c r="C427">
        <f>VLOOKUP(B427, 'MLB Data'!$B$5:$D$34, 3, FALSE)</f>
        <v/>
      </c>
      <c r="D427" t="inlineStr">
        <is>
          <t>JACK LEITER</t>
        </is>
      </c>
      <c r="E427" t="n">
        <v>4.39</v>
      </c>
      <c r="F427" s="17">
        <f>VLOOKUP(B427, 'MLB Data'!$F$2:$H$34, 3, FALSE)</f>
        <v/>
      </c>
      <c r="G427" s="17">
        <f>IF((E427*0.6+F427*0.4)&lt;2.5, 2.8, IF((E427*0.6+F427*0.4)&gt;5.5, 5.2, (E427*0.6+F427*0.4)))</f>
        <v/>
      </c>
      <c r="H427" t="inlineStr">
        <is>
          <t>ATHLETICS</t>
        </is>
      </c>
      <c r="I427">
        <f>VLOOKUP(H427, 'MLB Data'!$B$5:$D$34, 3, FALSE)</f>
        <v/>
      </c>
      <c r="J427" t="inlineStr">
        <is>
          <t>JACOB LOPEZ</t>
        </is>
      </c>
      <c r="K427" t="n">
        <v>4.37</v>
      </c>
      <c r="L427" s="17">
        <f>VLOOKUP(H427, 'MLB Data'!$F$2:$H$34, 3, FALSE)</f>
        <v/>
      </c>
      <c r="M427" s="17">
        <f>IF((K427*0.6+L427*0.4)&lt;2.5, 2.8, IF((K427*0.6+L427*0.4)&gt;5.5, 5.2, (K427*0.6+L427*0.4)))</f>
        <v/>
      </c>
      <c r="O427" s="18">
        <f>(C427/100) * 4.1 * (M427 / 4.2) * T427</f>
        <v/>
      </c>
      <c r="P427" s="18">
        <f>(I427/100) * 4.05 * (G427 / 4.2) * T427</f>
        <v/>
      </c>
      <c r="Q427" s="18">
        <f>(O427+P427)</f>
        <v/>
      </c>
      <c r="S427" s="15">
        <f>H427</f>
        <v/>
      </c>
      <c r="T427" s="19">
        <f>IF(S427="ROCKIES",1.13,IF(S427="ATHLETICS",1.03,IF(S427="ROYALS",1.03,IF(S427="TWINS",1,IF(S427="TIGERS",1,IF(S427="MARLINS",1.01,IF(S427="REDS",1.05,IF(S427="RED SOX",1.04,IF(S427="YANKEES",1.02,IF(S427="DODGERS",0.99,IF(S427="PADRES",0.96,IF(S427="CUBS",0.98,IF(S427="GIANTS",0.97,IF(S427="MARINERS",0.94,IF(S427="RANGERS",1,IF(S427="ASTROS",0.99,IF(S427="BRAVES",1,IF(S427="METS",0.96,IF(S427="PHILLIES",1.02,IF(S427="BLUE JAYS",1.01,IF(S427="ORIOLES",0.99,IF(S427="RAYS",1.01,IF(S427="GUARDIANS",0.99,IF(S427="WHITE SOX",0.98,IF(S427="ANGELS",1.01,IF(S427="D-BACKS",1.01,IF(S427="BREWERS",0.99,IF(S427="CARDINALS",0.96,IF(S427="PIRATES",1.02,IF(S427="NATIONALS",1,1))))))))))))))))))))))))))))))*IF(W427="",1,(1+((W427-70)/10*0.035)))*IF(U427="DOME",1,IF(U427="IN",1-(V427*0.01),IF(U427="OUT",1+(V427*0.01),IF(OR(U427="L-R",U427="R-L"),1+(V427*0.005),1))))</f>
        <v/>
      </c>
      <c r="U427" t="inlineStr">
        <is>
          <t>DOME</t>
        </is>
      </c>
      <c r="V427" t="n">
        <v>0</v>
      </c>
      <c r="Y427">
        <f>B427 &amp; " vs. " &amp; H427</f>
        <v/>
      </c>
      <c r="Z427">
        <f>TRIM(LEFT(Y427, FIND("vs.", Y427)-1))</f>
        <v/>
      </c>
      <c r="AA427">
        <f>TRIM(MID(Y427, FIND(" vs. ", Y427)+4, 100))</f>
        <v/>
      </c>
      <c r="AB427" s="35">
        <f>IF(Q427 &gt; VALUE(AC427), "O " &amp; AC427, IF(Q427 &lt; VALUE(AC427), "U " &amp; AC427, AC427))</f>
        <v/>
      </c>
      <c r="AC427" s="15">
        <f>IF(OR(O427="-", P427="-"), "-", MROUND(O427 + P427, 0.5))</f>
        <v/>
      </c>
      <c r="AD427" s="15">
        <f>VALUE(TRIM(RIGHT(AF427, LEN(AF427) - FIND(" ", AF427))))</f>
        <v/>
      </c>
      <c r="AE427" s="15">
        <f>LEFT(AF427,FIND(" ",AF427)-1)</f>
        <v/>
      </c>
      <c r="AF427" s="15">
        <f>IF(OR(O427="-", P427="-"), "-",
IF(MROUND(ABS(O427-P427),0.5)&lt;=0.5,
IF(O427&gt;P427, B427 &amp; " ML", H427 &amp; " ML"),
IF(MROUND(ABS(O427-P427),0.5)=1,
IF(O427&gt;P427, H427 &amp; " +1.5", B427 &amp; " +1.5"),
IF(O427&gt;P427, B427 &amp; " -1.5", H427 &amp; " -1.5")
)
)
)</f>
        <v/>
      </c>
      <c r="AG427" s="15">
        <f>_xlfn.LET(
_xlpm.winA, O427^1.83 / (O427^1.83 + P427^1.83),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28">
      <c r="A428" s="81" t="n">
        <v>46128</v>
      </c>
      <c r="B428" t="inlineStr">
        <is>
          <t>ORIOLES</t>
        </is>
      </c>
      <c r="C428">
        <f>VLOOKUP(B428, 'MLB Data'!$B$5:$D$34, 3, FALSE)</f>
        <v/>
      </c>
      <c r="D428" t="inlineStr">
        <is>
          <t>SHANE BAZ</t>
        </is>
      </c>
      <c r="E428" t="n">
        <v>3.94</v>
      </c>
      <c r="F428" s="17">
        <f>VLOOKUP(B428, 'MLB Data'!$F$2:$H$34, 3, FALSE)</f>
        <v/>
      </c>
      <c r="G428" s="17">
        <f>IF((E428*0.6+F428*0.4)&lt;2.5, 2.8, IF((E428*0.6+F428*0.4)&gt;5.5, 5.2, (E428*0.6+F428*0.4)))</f>
        <v/>
      </c>
      <c r="H428" t="inlineStr">
        <is>
          <t>GUARDIANS</t>
        </is>
      </c>
      <c r="I428">
        <f>VLOOKUP(H428, 'MLB Data'!$B$5:$D$34, 3, FALSE)</f>
        <v/>
      </c>
      <c r="J428" t="inlineStr">
        <is>
          <t>PARKER MESSICK</t>
        </is>
      </c>
      <c r="K428" t="n">
        <v>3.17</v>
      </c>
      <c r="L428" s="17">
        <f>VLOOKUP(H428, 'MLB Data'!$F$2:$H$34, 3, FALSE)</f>
        <v/>
      </c>
      <c r="M428" s="17">
        <f>IF((K428*0.6+L428*0.4)&lt;2.5, 2.8, IF((K428*0.6+L428*0.4)&gt;5.5, 5.2, (K428*0.6+L428*0.4)))</f>
        <v/>
      </c>
      <c r="O428" s="18">
        <f>(C428/100) * 4.1 * (M428 / 4.2) * T428</f>
        <v/>
      </c>
      <c r="P428" s="18">
        <f>(I428/100) * 4.05 * (G428 / 4.2) * T428</f>
        <v/>
      </c>
      <c r="Q428" s="18">
        <f>(O428+P428)</f>
        <v/>
      </c>
      <c r="S428" s="15">
        <f>H428</f>
        <v/>
      </c>
      <c r="T428" s="19">
        <f>IF(S428="ROCKIES",1.13,IF(S428="ATHLETICS",1.03,IF(S428="ROYALS",1.03,IF(S428="TWINS",1,IF(S428="TIGERS",1,IF(S428="MARLINS",1.01,IF(S428="REDS",1.05,IF(S428="RED SOX",1.04,IF(S428="YANKEES",1.02,IF(S428="DODGERS",0.99,IF(S428="PADRES",0.96,IF(S428="CUBS",0.98,IF(S428="GIANTS",0.97,IF(S428="MARINERS",0.94,IF(S428="RANGERS",1,IF(S428="ASTROS",0.99,IF(S428="BRAVES",1,IF(S428="METS",0.96,IF(S428="PHILLIES",1.02,IF(S428="BLUE JAYS",1.01,IF(S428="ORIOLES",0.99,IF(S428="RAYS",1.01,IF(S428="GUARDIANS",0.99,IF(S428="WHITE SOX",0.98,IF(S428="ANGELS",1.01,IF(S428="D-BACKS",1.01,IF(S428="BREWERS",0.99,IF(S428="CARDINALS",0.96,IF(S428="PIRATES",1.02,IF(S428="NATIONALS",1,1))))))))))))))))))))))))))))))*IF(W428="",1,(1+((W428-70)/10*0.035)))*IF(U428="DOME",1,IF(U428="IN",1-(V428*0.01),IF(U428="OUT",1+(V428*0.01),IF(OR(U428="L-R",U428="R-L"),1+(V428*0.005),1))))</f>
        <v/>
      </c>
      <c r="U428" t="inlineStr">
        <is>
          <t>CROSS</t>
        </is>
      </c>
      <c r="V428" t="n">
        <v>14</v>
      </c>
      <c r="W428" t="n">
        <v>68</v>
      </c>
      <c r="Y428">
        <f>B428 &amp; " vs. " &amp; H428</f>
        <v/>
      </c>
      <c r="Z428">
        <f>TRIM(LEFT(Y428, FIND("vs.", Y428)-1))</f>
        <v/>
      </c>
      <c r="AA428">
        <f>TRIM(MID(Y428, FIND(" vs. ", Y428)+4, 100))</f>
        <v/>
      </c>
      <c r="AB428" s="35">
        <f>IF(Q428 &gt; VALUE(AC428), "O " &amp; AC428, IF(Q428 &lt; VALUE(AC428), "U " &amp; AC428, AC428))</f>
        <v/>
      </c>
      <c r="AC428" s="15">
        <f>IF(OR(O428="-", P428="-"), "-", MROUND(O428 + P428, 0.5))</f>
        <v/>
      </c>
      <c r="AD428" s="15">
        <f>VALUE(TRIM(RIGHT(AF428, LEN(AF428) - FIND(" ", AF428))))</f>
        <v/>
      </c>
      <c r="AE428" s="15">
        <f>LEFT(AF428,FIND(" ",AF428)-1)</f>
        <v/>
      </c>
      <c r="AF428" s="15">
        <f>IF(OR(O428="-", P428="-"), "-",
IF(MROUND(ABS(O428-P428),0.5)&lt;=0.5,
IF(O428&gt;P428, B428 &amp; " ML", H428 &amp; " ML"),
IF(MROUND(ABS(O428-P428),0.5)=1,
IF(O428&gt;P428, H428 &amp; " +1.5", B428 &amp; " +1.5"),
IF(O428&gt;P428, B428 &amp; " -1.5", H428 &amp; " -1.5")
)
)
)</f>
        <v/>
      </c>
      <c r="AG428" s="15">
        <f>_xlfn.LET(
_xlpm.winA, O428^1.83 / (O428^1.83 + P428^1.83),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29">
      <c r="A429" s="81" t="n">
        <v>46128</v>
      </c>
      <c r="B429" t="inlineStr">
        <is>
          <t>ROCKIES</t>
        </is>
      </c>
      <c r="C429">
        <f>VLOOKUP(B429, 'MLB Data'!$B$5:$D$34, 3, FALSE)</f>
        <v/>
      </c>
      <c r="D429" t="inlineStr">
        <is>
          <t>JUAN MEJIA</t>
        </is>
      </c>
      <c r="F429" s="17">
        <f>VLOOKUP(B429, 'MLB Data'!$F$2:$H$34, 3, FALSE)</f>
        <v/>
      </c>
      <c r="G429" s="17">
        <f>IF((E429*0.6+F429*0.4)&lt;2.5, 2.8, IF((E429*0.6+F429*0.4)&gt;5.5, 5.2, (E429*0.6+F429*0.4)))</f>
        <v/>
      </c>
      <c r="H429" t="inlineStr">
        <is>
          <t>ASTROS</t>
        </is>
      </c>
      <c r="I429">
        <f>VLOOKUP(H429, 'MLB Data'!$B$5:$D$34, 3, FALSE)</f>
        <v/>
      </c>
      <c r="J429" t="inlineStr">
        <is>
          <t>RYAN WEISS</t>
        </is>
      </c>
      <c r="L429" s="17">
        <f>VLOOKUP(H429, 'MLB Data'!$F$2:$H$34, 3, FALSE)</f>
        <v/>
      </c>
      <c r="M429" s="17">
        <f>IF((K429*0.6+L429*0.4)&lt;2.5, 2.8, IF((K429*0.6+L429*0.4)&gt;5.5, 5.2, (K429*0.6+L429*0.4)))</f>
        <v/>
      </c>
      <c r="O429" s="18">
        <f>(C429/100) * 4.1 * (M429 / 4.2) * T429</f>
        <v/>
      </c>
      <c r="P429" s="18">
        <f>(I429/100) * 4.05 * (G429 / 4.2) * T429</f>
        <v/>
      </c>
      <c r="Q429" s="18">
        <f>(O429+P429)</f>
        <v/>
      </c>
      <c r="S429" s="15">
        <f>H429</f>
        <v/>
      </c>
      <c r="T429" s="19">
        <f>IF(S429="ROCKIES",1.13,IF(S429="ATHLETICS",1.03,IF(S429="ROYALS",1.03,IF(S429="TWINS",1,IF(S429="TIGERS",1,IF(S429="MARLINS",1.01,IF(S429="REDS",1.05,IF(S429="RED SOX",1.04,IF(S429="YANKEES",1.02,IF(S429="DODGERS",0.99,IF(S429="PADRES",0.96,IF(S429="CUBS",0.98,IF(S429="GIANTS",0.97,IF(S429="MARINERS",0.94,IF(S429="RANGERS",1,IF(S429="ASTROS",0.99,IF(S429="BRAVES",1,IF(S429="METS",0.96,IF(S429="PHILLIES",1.02,IF(S429="BLUE JAYS",1.01,IF(S429="ORIOLES",0.99,IF(S429="RAYS",1.01,IF(S429="GUARDIANS",0.99,IF(S429="WHITE SOX",0.98,IF(S429="ANGELS",1.01,IF(S429="D-BACKS",1.01,IF(S429="BREWERS",0.99,IF(S429="CARDINALS",0.96,IF(S429="PIRATES",1.02,IF(S429="NATIONALS",1,1))))))))))))))))))))))))))))))*IF(W429="",1,(1+((W429-70)/10*0.035)))*IF(U429="DOME",1,IF(U429="IN",1-(V429*0.01),IF(U429="OUT",1+(V429*0.01),IF(OR(U429="L-R",U429="R-L"),1+(V429*0.005),1))))</f>
        <v/>
      </c>
      <c r="U429" t="inlineStr">
        <is>
          <t>DOME</t>
        </is>
      </c>
      <c r="V429" t="n">
        <v>0</v>
      </c>
      <c r="Y429">
        <f>B429 &amp; " vs. " &amp; H429</f>
        <v/>
      </c>
      <c r="Z429">
        <f>TRIM(LEFT(Y429, FIND("vs.", Y429)-1))</f>
        <v/>
      </c>
      <c r="AA429">
        <f>TRIM(MID(Y429, FIND(" vs. ", Y429)+4, 100))</f>
        <v/>
      </c>
      <c r="AB429" s="35">
        <f>IF(Q429 &gt; VALUE(AC429), "O " &amp; AC429, IF(Q429 &lt; VALUE(AC429), "U " &amp; AC429, AC429))</f>
        <v/>
      </c>
      <c r="AC429" s="15">
        <f>IF(OR(O429="-", P429="-"), "-", MROUND(O429 + P429, 0.5))</f>
        <v/>
      </c>
      <c r="AD429" s="15">
        <f>VALUE(TRIM(RIGHT(AF429, LEN(AF429) - FIND(" ", AF429))))</f>
        <v/>
      </c>
      <c r="AE429" s="15">
        <f>LEFT(AF429,FIND(" ",AF429)-1)</f>
        <v/>
      </c>
      <c r="AF429" s="15">
        <f>IF(OR(O429="-", P429="-"), "-",
IF(MROUND(ABS(O429-P429),0.5)&lt;=0.5,
IF(O429&gt;P429, B429 &amp; " ML", H429 &amp; " ML"),
IF(MROUND(ABS(O429-P429),0.5)=1,
IF(O429&gt;P429, H429 &amp; " +1.5", B429 &amp; " +1.5"),
IF(O429&gt;P429, B429 &amp; " -1.5", H429 &amp; " -1.5")
)
)
)</f>
        <v/>
      </c>
      <c r="AG429" s="15">
        <f>_xlfn.LET(
_xlpm.winA, O429^1.83 / (O429^1.83 + P429^1.83),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30">
      <c r="A430" s="81" t="n">
        <v>46128</v>
      </c>
      <c r="B430" t="inlineStr">
        <is>
          <t>MARINERS</t>
        </is>
      </c>
      <c r="C430">
        <f>VLOOKUP(B430, 'MLB Data'!$B$5:$D$34, 3, FALSE)</f>
        <v/>
      </c>
      <c r="D430" t="inlineStr">
        <is>
          <t>LUIS CASTILLO</t>
        </is>
      </c>
      <c r="E430" t="n">
        <v>4.05</v>
      </c>
      <c r="F430" s="17">
        <f>VLOOKUP(B430, 'MLB Data'!$F$2:$H$34, 3, FALSE)</f>
        <v/>
      </c>
      <c r="G430" s="17">
        <f>IF((E430*0.6+F430*0.4)&lt;2.5, 2.8, IF((E430*0.6+F430*0.4)&gt;5.5, 5.2, (E430*0.6+F430*0.4)))</f>
        <v/>
      </c>
      <c r="H430" t="inlineStr">
        <is>
          <t>PADRES</t>
        </is>
      </c>
      <c r="I430">
        <f>VLOOKUP(H430, 'MLB Data'!$B$5:$D$34, 3, FALSE)</f>
        <v/>
      </c>
      <c r="J430" t="inlineStr">
        <is>
          <t>WALKER BUEHLER</t>
        </is>
      </c>
      <c r="K430" t="n">
        <v>4.96</v>
      </c>
      <c r="L430" s="17">
        <f>VLOOKUP(H430, 'MLB Data'!$F$2:$H$34, 3, FALSE)</f>
        <v/>
      </c>
      <c r="M430" s="17">
        <f>IF((K430*0.6+L430*0.4)&lt;2.5, 2.8, IF((K430*0.6+L430*0.4)&gt;5.5, 5.2, (K430*0.6+L430*0.4)))</f>
        <v/>
      </c>
      <c r="O430" s="18">
        <f>(C430/100) * 4.1 * (M430 / 4.2) * T430</f>
        <v/>
      </c>
      <c r="P430" s="18">
        <f>(I430/100) * 4.05 * (G430 / 4.2) * T430</f>
        <v/>
      </c>
      <c r="Q430" s="18">
        <f>(O430+P430)</f>
        <v/>
      </c>
      <c r="S430" s="15">
        <f>H430</f>
        <v/>
      </c>
      <c r="T430" s="19">
        <f>IF(S430="ROCKIES",1.13,IF(S430="ATHLETICS",1.03,IF(S430="ROYALS",1.03,IF(S430="TWINS",1,IF(S430="TIGERS",1,IF(S430="MARLINS",1.01,IF(S430="REDS",1.05,IF(S430="RED SOX",1.04,IF(S430="YANKEES",1.02,IF(S430="DODGERS",0.99,IF(S430="PADRES",0.96,IF(S430="CUBS",0.98,IF(S430="GIANTS",0.97,IF(S430="MARINERS",0.94,IF(S430="RANGERS",1,IF(S430="ASTROS",0.99,IF(S430="BRAVES",1,IF(S430="METS",0.96,IF(S430="PHILLIES",1.02,IF(S430="BLUE JAYS",1.01,IF(S430="ORIOLES",0.99,IF(S430="RAYS",1.01,IF(S430="GUARDIANS",0.99,IF(S430="WHITE SOX",0.98,IF(S430="ANGELS",1.01,IF(S430="D-BACKS",1.01,IF(S430="BREWERS",0.99,IF(S430="CARDINALS",0.96,IF(S430="PIRATES",1.02,IF(S430="NATIONALS",1,1))))))))))))))))))))))))))))))*IF(W430="",1,(1+((W430-70)/10*0.035)))*IF(U430="DOME",1,IF(U430="IN",1-(V430*0.01),IF(U430="OUT",1+(V430*0.01),IF(OR(U430="L-R",U430="R-L"),1+(V430*0.005),1))))</f>
        <v/>
      </c>
      <c r="U430" t="inlineStr">
        <is>
          <t>CROSS</t>
        </is>
      </c>
      <c r="V430" t="n">
        <v>10</v>
      </c>
      <c r="W430" t="n">
        <v>63</v>
      </c>
      <c r="Y430">
        <f>B430 &amp; " vs. " &amp; H430</f>
        <v/>
      </c>
      <c r="Z430">
        <f>TRIM(LEFT(Y430, FIND("vs.", Y430)-1))</f>
        <v/>
      </c>
      <c r="AA430">
        <f>TRIM(MID(Y430, FIND(" vs. ", Y430)+4, 100))</f>
        <v/>
      </c>
      <c r="AB430" s="35">
        <f>IF(Q430 &gt; VALUE(AC430), "O " &amp; AC430, IF(Q430 &lt; VALUE(AC430), "U " &amp; AC430, AC430))</f>
        <v/>
      </c>
      <c r="AC430" s="15">
        <f>IF(OR(O430="-", P430="-"), "-", MROUND(O430 + P430, 0.5))</f>
        <v/>
      </c>
      <c r="AD430" s="15">
        <f>VALUE(TRIM(RIGHT(AF430, LEN(AF430) - FIND(" ", AF430))))</f>
        <v/>
      </c>
      <c r="AE430" s="15">
        <f>LEFT(AF430,FIND(" ",AF430)-1)</f>
        <v/>
      </c>
      <c r="AF430" s="15">
        <f>IF(OR(O430="-", P430="-"), "-",
IF(MROUND(ABS(O430-P430),0.5)&lt;=0.5,
IF(O430&gt;P430, B430 &amp; " ML", H430 &amp; " ML"),
IF(MROUND(ABS(O430-P430),0.5)=1,
IF(O430&gt;P430, H430 &amp; " +1.5", B430 &amp; " +1.5"),
IF(O430&gt;P430, B430 &amp; " -1.5", H430 &amp; " -1.5")
)
)
)</f>
        <v/>
      </c>
      <c r="AG430" s="15">
        <f>_xlfn.LET(
_xlpm.winA, O430^1.83 / (O430^1.83 + P430^1.83),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31">
      <c r="A431" s="81" t="n">
        <v>46129</v>
      </c>
      <c r="B431" t="inlineStr">
        <is>
          <t>METS</t>
        </is>
      </c>
      <c r="C431">
        <f>VLOOKUP(B431, 'MLB Data'!$B$5:$D$34, 3, FALSE)</f>
        <v/>
      </c>
      <c r="D431" t="inlineStr">
        <is>
          <t>KODAI SENGA</t>
        </is>
      </c>
      <c r="E431" t="n">
        <v>4.26</v>
      </c>
      <c r="F431" s="17">
        <f>VLOOKUP(B431, 'MLB Data'!$F$2:$H$34, 3, FALSE)</f>
        <v/>
      </c>
      <c r="G431" s="17">
        <f>IF((E431*0.6+F431*0.4)&lt;2.5, 2.8, IF((E431*0.6+F431*0.4)&gt;5.5, 5.2, (E431*0.6+F431*0.4)))</f>
        <v/>
      </c>
      <c r="H431" t="inlineStr">
        <is>
          <t>CUBS</t>
        </is>
      </c>
      <c r="I431">
        <f>VLOOKUP(H431, 'MLB Data'!$B$5:$D$34, 3, FALSE)</f>
        <v/>
      </c>
      <c r="J431" t="inlineStr">
        <is>
          <t>EDWARD CABRERA</t>
        </is>
      </c>
      <c r="K431" t="n">
        <v>3.69</v>
      </c>
      <c r="L431" s="17">
        <f>VLOOKUP(H431, 'MLB Data'!$F$2:$H$34, 3, FALSE)</f>
        <v/>
      </c>
      <c r="M431" s="17">
        <f>IF((K431*0.6+L431*0.4)&lt;2.5, 2.8, IF((K431*0.6+L431*0.4)&gt;5.5, 5.2, (K431*0.6+L431*0.4)))</f>
        <v/>
      </c>
      <c r="O431" s="18">
        <f>(C431/100) * 4.1 * (M431 / 4.2) * T431</f>
        <v/>
      </c>
      <c r="P431" s="18">
        <f>(I431/100) * 4.05 * (G431 / 4.2) * T431</f>
        <v/>
      </c>
      <c r="Q431" s="18">
        <f>(O431+P431)</f>
        <v/>
      </c>
      <c r="S431" s="15">
        <f>H431</f>
        <v/>
      </c>
      <c r="T431" s="19">
        <f>IF(S431="ROCKIES",1.13,IF(S431="ATHLETICS",1.03,IF(S431="ROYALS",1.03,IF(S431="TWINS",1,IF(S431="TIGERS",1,IF(S431="MARLINS",1.01,IF(S431="REDS",1.05,IF(S431="RED SOX",1.04,IF(S431="YANKEES",1.02,IF(S431="DODGERS",0.99,IF(S431="PADRES",0.96,IF(S431="CUBS",0.98,IF(S431="GIANTS",0.97,IF(S431="MARINERS",0.94,IF(S431="RANGERS",1,IF(S431="ASTROS",0.99,IF(S431="BRAVES",1,IF(S431="METS",0.96,IF(S431="PHILLIES",1.02,IF(S431="BLUE JAYS",1.01,IF(S431="ORIOLES",0.99,IF(S431="RAYS",1.01,IF(S431="GUARDIANS",0.99,IF(S431="WHITE SOX",0.98,IF(S431="ANGELS",1.01,IF(S431="D-BACKS",1.01,IF(S431="BREWERS",0.99,IF(S431="CARDINALS",0.96,IF(S431="PIRATES",1.02,IF(S431="NATIONALS",1,1))))))))))))))))))))))))))))))*IF(W431="",1,(1+((W431-70)/10*0.035)))*IF(U431="DOME",1,IF(U431="IN",1-(V431*0.01),IF(U431="OUT",1+(V431*0.01),IF(OR(U431="L-R",U431="R-L"),1+(V431*0.005),1))))</f>
        <v/>
      </c>
      <c r="U431" t="inlineStr">
        <is>
          <t>CROSS</t>
        </is>
      </c>
      <c r="V431" t="n">
        <v>10</v>
      </c>
      <c r="W431" t="n">
        <v>74</v>
      </c>
      <c r="Y431">
        <f>B431 &amp; " vs. " &amp; H431</f>
        <v/>
      </c>
      <c r="Z431">
        <f>TRIM(LEFT(Y431, FIND("vs.", Y431)-1))</f>
        <v/>
      </c>
      <c r="AA431">
        <f>TRIM(MID(Y431, FIND(" vs. ", Y431)+4, 100))</f>
        <v/>
      </c>
      <c r="AB431" s="35">
        <f>IF(Q431 &gt; VALUE(AC431), "O " &amp; AC431, IF(Q431 &lt; VALUE(AC431), "U " &amp; AC431, AC431))</f>
        <v/>
      </c>
      <c r="AC431" s="15">
        <f>IF(OR(O431="-", P431="-"), "-", MROUND(O431 + P431, 0.5))</f>
        <v/>
      </c>
      <c r="AD431" s="15">
        <f>VALUE(TRIM(RIGHT(AF431, LEN(AF431) - FIND(" ", AF431))))</f>
        <v/>
      </c>
      <c r="AE431" s="15">
        <f>LEFT(AF431,FIND(" ",AF431)-1)</f>
        <v/>
      </c>
      <c r="AF431" s="15">
        <f>IF(OR(O431="-", P431="-"), "-",
IF(MROUND(ABS(O431-P431),0.5)&lt;=0.5,
IF(O431&gt;P431, B431 &amp; " ML", H431 &amp; " ML"),
IF(MROUND(ABS(O431-P431),0.5)=1,
IF(O431&gt;P431, H431 &amp; " +1.5", B431 &amp; " +1.5"),
IF(O431&gt;P431, B431 &amp; " -1.5", H431 &amp; " -1.5")
)
)
)</f>
        <v/>
      </c>
      <c r="AG431" s="15">
        <f>_xlfn.LET(
_xlpm.winA, O431^1.83 / (O431^1.83 + P431^1.83),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32">
      <c r="A432" s="81" t="n">
        <v>46129</v>
      </c>
      <c r="B432" t="inlineStr">
        <is>
          <t>ORIOLES</t>
        </is>
      </c>
      <c r="C432">
        <f>VLOOKUP(B432, 'MLB Data'!$B$5:$D$34, 3, FALSE)</f>
        <v/>
      </c>
      <c r="D432" t="inlineStr">
        <is>
          <t>CHRIS BASSITT</t>
        </is>
      </c>
      <c r="E432" t="n">
        <v>4.12</v>
      </c>
      <c r="F432" s="17">
        <f>VLOOKUP(B432, 'MLB Data'!$F$2:$H$34, 3, FALSE)</f>
        <v/>
      </c>
      <c r="G432" s="17">
        <f>IF((E432*0.6+F432*0.4)&lt;2.5, 2.8, IF((E432*0.6+F432*0.4)&gt;5.5, 5.2, (E432*0.6+F432*0.4)))</f>
        <v/>
      </c>
      <c r="H432" t="inlineStr">
        <is>
          <t>GUARDIANS</t>
        </is>
      </c>
      <c r="I432">
        <f>VLOOKUP(H432, 'MLB Data'!$B$5:$D$34, 3, FALSE)</f>
        <v/>
      </c>
      <c r="J432" t="inlineStr">
        <is>
          <t>TANNER BIBEE</t>
        </is>
      </c>
      <c r="K432" t="n">
        <v>4.12</v>
      </c>
      <c r="L432" s="17">
        <f>VLOOKUP(H432, 'MLB Data'!$F$2:$H$34, 3, FALSE)</f>
        <v/>
      </c>
      <c r="M432" s="17">
        <f>IF((K432*0.6+L432*0.4)&lt;2.5, 2.8, IF((K432*0.6+L432*0.4)&gt;5.5, 5.2, (K432*0.6+L432*0.4)))</f>
        <v/>
      </c>
      <c r="O432" s="18">
        <f>(C432/100) * 4.1 * (M432 / 4.2) * T432</f>
        <v/>
      </c>
      <c r="P432" s="18">
        <f>(I432/100) * 4.05 * (G432 / 4.2) * T432</f>
        <v/>
      </c>
      <c r="Q432" s="18">
        <f>(O432+P432)</f>
        <v/>
      </c>
      <c r="S432" s="15">
        <f>H432</f>
        <v/>
      </c>
      <c r="T432" s="19">
        <f>IF(S432="ROCKIES",1.13,IF(S432="ATHLETICS",1.03,IF(S432="ROYALS",1.03,IF(S432="TWINS",1,IF(S432="TIGERS",1,IF(S432="MARLINS",1.01,IF(S432="REDS",1.05,IF(S432="RED SOX",1.04,IF(S432="YANKEES",1.02,IF(S432="DODGERS",0.99,IF(S432="PADRES",0.96,IF(S432="CUBS",0.98,IF(S432="GIANTS",0.97,IF(S432="MARINERS",0.94,IF(S432="RANGERS",1,IF(S432="ASTROS",0.99,IF(S432="BRAVES",1,IF(S432="METS",0.96,IF(S432="PHILLIES",1.02,IF(S432="BLUE JAYS",1.01,IF(S432="ORIOLES",0.99,IF(S432="RAYS",1.01,IF(S432="GUARDIANS",0.99,IF(S432="WHITE SOX",0.98,IF(S432="ANGELS",1.01,IF(S432="D-BACKS",1.01,IF(S432="BREWERS",0.99,IF(S432="CARDINALS",0.96,IF(S432="PIRATES",1.02,IF(S432="NATIONALS",1,1))))))))))))))))))))))))))))))*IF(W432="",1,(1+((W432-70)/10*0.035)))*IF(U432="DOME",1,IF(U432="IN",1-(V432*0.01),IF(U432="OUT",1+(V432*0.01),IF(OR(U432="L-R",U432="R-L"),1+(V432*0.005),1))))</f>
        <v/>
      </c>
      <c r="U432" t="inlineStr">
        <is>
          <t>CROSS</t>
        </is>
      </c>
      <c r="V432" t="n">
        <v>7</v>
      </c>
      <c r="W432" t="n">
        <v>66</v>
      </c>
      <c r="Y432">
        <f>B432 &amp; " vs. " &amp; H432</f>
        <v/>
      </c>
      <c r="Z432">
        <f>TRIM(LEFT(Y432, FIND("vs.", Y432)-1))</f>
        <v/>
      </c>
      <c r="AA432">
        <f>TRIM(MID(Y432, FIND(" vs. ", Y432)+4, 100))</f>
        <v/>
      </c>
      <c r="AB432" s="35">
        <f>IF(Q432 &gt; VALUE(AC432), "O " &amp; AC432, IF(Q432 &lt; VALUE(AC432), "U " &amp; AC432, AC432))</f>
        <v/>
      </c>
      <c r="AC432" s="15">
        <f>IF(OR(O432="-", P432="-"), "-", MROUND(O432 + P432, 0.5))</f>
        <v/>
      </c>
      <c r="AD432" s="15">
        <f>VALUE(TRIM(RIGHT(AF432, LEN(AF432) - FIND(" ", AF432))))</f>
        <v/>
      </c>
      <c r="AE432" s="15">
        <f>LEFT(AF432,FIND(" ",AF432)-1)</f>
        <v/>
      </c>
      <c r="AF432" s="15">
        <f>IF(OR(O432="-", P432="-"), "-",
IF(MROUND(ABS(O432-P432),0.5)&lt;=0.5,
IF(O432&gt;P432, B432 &amp; " ML", H432 &amp; " ML"),
IF(MROUND(ABS(O432-P432),0.5)=1,
IF(O432&gt;P432, H432 &amp; " +1.5", B432 &amp; " +1.5"),
IF(O432&gt;P432, B432 &amp; " -1.5", H432 &amp; " -1.5")
)
)
)</f>
        <v/>
      </c>
      <c r="AG432" s="15">
        <f>_xlfn.LET(
_xlpm.winA, O432^1.83 / (O432^1.83 + P432^1.83),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33">
      <c r="A433" s="81" t="n">
        <v>46129</v>
      </c>
      <c r="B433" t="inlineStr">
        <is>
          <t>BRAVES</t>
        </is>
      </c>
      <c r="C433">
        <f>VLOOKUP(B433, 'MLB Data'!$B$5:$D$34, 3, FALSE)</f>
        <v/>
      </c>
      <c r="D433" t="inlineStr">
        <is>
          <t>MARTÍN PÉREZ</t>
        </is>
      </c>
      <c r="F433" s="17">
        <f>VLOOKUP(B433, 'MLB Data'!$F$2:$H$34, 3, FALSE)</f>
        <v/>
      </c>
      <c r="G433" s="17">
        <f>IF((E433*0.6+F433*0.4)&lt;2.5, 2.8, IF((E433*0.6+F433*0.4)&gt;5.5, 5.2, (E433*0.6+F433*0.4)))</f>
        <v/>
      </c>
      <c r="H433" t="inlineStr">
        <is>
          <t>PHILLIES</t>
        </is>
      </c>
      <c r="I433">
        <f>VLOOKUP(H433, 'MLB Data'!$B$5:$D$34, 3, FALSE)</f>
        <v/>
      </c>
      <c r="J433" t="inlineStr">
        <is>
          <t>TAIJUAN WALKER</t>
        </is>
      </c>
      <c r="K433" t="n">
        <v>4.77</v>
      </c>
      <c r="L433" s="17">
        <f>VLOOKUP(H433, 'MLB Data'!$F$2:$H$34, 3, FALSE)</f>
        <v/>
      </c>
      <c r="M433" s="17">
        <f>IF((K433*0.6+L433*0.4)&lt;2.5, 2.8, IF((K433*0.6+L433*0.4)&gt;5.5, 5.2, (K433*0.6+L433*0.4)))</f>
        <v/>
      </c>
      <c r="O433" s="18">
        <f>(C433/100) * 4.1 * (M433 / 4.2) * T433</f>
        <v/>
      </c>
      <c r="P433" s="18">
        <f>(I433/100) * 4.05 * (G433 / 4.2) * T433</f>
        <v/>
      </c>
      <c r="Q433" s="18">
        <f>(O433+P433)</f>
        <v/>
      </c>
      <c r="S433" s="15">
        <f>H433</f>
        <v/>
      </c>
      <c r="T433" s="19">
        <f>IF(S433="ROCKIES",1.13,IF(S433="ATHLETICS",1.03,IF(S433="ROYALS",1.03,IF(S433="TWINS",1,IF(S433="TIGERS",1,IF(S433="MARLINS",1.01,IF(S433="REDS",1.05,IF(S433="RED SOX",1.04,IF(S433="YANKEES",1.02,IF(S433="DODGERS",0.99,IF(S433="PADRES",0.96,IF(S433="CUBS",0.98,IF(S433="GIANTS",0.97,IF(S433="MARINERS",0.94,IF(S433="RANGERS",1,IF(S433="ASTROS",0.99,IF(S433="BRAVES",1,IF(S433="METS",0.96,IF(S433="PHILLIES",1.02,IF(S433="BLUE JAYS",1.01,IF(S433="ORIOLES",0.99,IF(S433="RAYS",1.01,IF(S433="GUARDIANS",0.99,IF(S433="WHITE SOX",0.98,IF(S433="ANGELS",1.01,IF(S433="D-BACKS",1.01,IF(S433="BREWERS",0.99,IF(S433="CARDINALS",0.96,IF(S433="PIRATES",1.02,IF(S433="NATIONALS",1,1))))))))))))))))))))))))))))))*IF(W433="",1,(1+((W433-70)/10*0.035)))*IF(U433="DOME",1,IF(U433="IN",1-(V433*0.01),IF(U433="OUT",1+(V433*0.01),IF(OR(U433="L-R",U433="R-L"),1+(V433*0.005),1))))</f>
        <v/>
      </c>
      <c r="U433" t="inlineStr">
        <is>
          <t>IN</t>
        </is>
      </c>
      <c r="V433" t="n">
        <v>10</v>
      </c>
      <c r="W433" t="n">
        <v>80</v>
      </c>
      <c r="Y433">
        <f>B433 &amp; " vs. " &amp; H433</f>
        <v/>
      </c>
      <c r="Z433">
        <f>TRIM(LEFT(Y433, FIND("vs.", Y433)-1))</f>
        <v/>
      </c>
      <c r="AA433">
        <f>TRIM(MID(Y433, FIND(" vs. ", Y433)+4, 100))</f>
        <v/>
      </c>
      <c r="AB433" s="35">
        <f>IF(Q433 &gt; VALUE(AC433), "O " &amp; AC433, IF(Q433 &lt; VALUE(AC433), "U " &amp; AC433, AC433))</f>
        <v/>
      </c>
      <c r="AC433" s="15">
        <f>IF(OR(O433="-", P433="-"), "-", MROUND(O433 + P433, 0.5))</f>
        <v/>
      </c>
      <c r="AD433" s="15">
        <f>VALUE(TRIM(RIGHT(AF433, LEN(AF433) - FIND(" ", AF433))))</f>
        <v/>
      </c>
      <c r="AE433" s="15">
        <f>LEFT(AF433,FIND(" ",AF433)-1)</f>
        <v/>
      </c>
      <c r="AF433" s="15">
        <f>IF(OR(O433="-", P433="-"), "-",
IF(MROUND(ABS(O433-P433),0.5)&lt;=0.5,
IF(O433&gt;P433, B433 &amp; " ML", H433 &amp; " ML"),
IF(MROUND(ABS(O433-P433),0.5)=1,
IF(O433&gt;P433, H433 &amp; " +1.5", B433 &amp; " +1.5"),
IF(O433&gt;P433, B433 &amp; " -1.5", H433 &amp; " -1.5")
)
)
)</f>
        <v/>
      </c>
      <c r="AG433" s="15">
        <f>_xlfn.LET(
_xlpm.winA, O433^1.83 / (O433^1.83 + P433^1.83),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34">
      <c r="A434" s="81" t="n">
        <v>46129</v>
      </c>
      <c r="B434" t="inlineStr">
        <is>
          <t>GIANTS</t>
        </is>
      </c>
      <c r="C434">
        <f>VLOOKUP(B434, 'MLB Data'!$B$5:$D$34, 3, FALSE)</f>
        <v/>
      </c>
      <c r="D434" t="inlineStr">
        <is>
          <t>LOGAN WEBB</t>
        </is>
      </c>
      <c r="E434" t="n">
        <v>2.86</v>
      </c>
      <c r="F434" s="17">
        <f>VLOOKUP(B434, 'MLB Data'!$F$2:$H$34, 3, FALSE)</f>
        <v/>
      </c>
      <c r="G434" s="17">
        <f>IF((E434*0.6+F434*0.4)&lt;2.5, 2.8, IF((E434*0.6+F434*0.4)&gt;5.5, 5.2, (E434*0.6+F434*0.4)))</f>
        <v/>
      </c>
      <c r="H434" t="inlineStr">
        <is>
          <t>NATIONALS</t>
        </is>
      </c>
      <c r="I434">
        <f>VLOOKUP(H434, 'MLB Data'!$B$5:$D$34, 3, FALSE)</f>
        <v/>
      </c>
      <c r="J434" t="inlineStr">
        <is>
          <t>ZACK LITTELL</t>
        </is>
      </c>
      <c r="K434" t="n">
        <v>4.27</v>
      </c>
      <c r="L434" s="17">
        <f>VLOOKUP(H434, 'MLB Data'!$F$2:$H$34, 3, FALSE)</f>
        <v/>
      </c>
      <c r="M434" s="17">
        <f>IF((K434*0.6+L434*0.4)&lt;2.5, 2.8, IF((K434*0.6+L434*0.4)&gt;5.5, 5.2, (K434*0.6+L434*0.4)))</f>
        <v/>
      </c>
      <c r="O434" s="18">
        <f>(C434/100) * 4.1 * (M434 / 4.2) * T434</f>
        <v/>
      </c>
      <c r="P434" s="18">
        <f>(I434/100) * 4.05 * (G434 / 4.2) * T434</f>
        <v/>
      </c>
      <c r="Q434" s="18">
        <f>(O434+P434)</f>
        <v/>
      </c>
      <c r="S434" s="15">
        <f>H434</f>
        <v/>
      </c>
      <c r="T434" s="19">
        <f>IF(S434="ROCKIES",1.13,IF(S434="ATHLETICS",1.03,IF(S434="ROYALS",1.03,IF(S434="TWINS",1,IF(S434="TIGERS",1,IF(S434="MARLINS",1.01,IF(S434="REDS",1.05,IF(S434="RED SOX",1.04,IF(S434="YANKEES",1.02,IF(S434="DODGERS",0.99,IF(S434="PADRES",0.96,IF(S434="CUBS",0.98,IF(S434="GIANTS",0.97,IF(S434="MARINERS",0.94,IF(S434="RANGERS",1,IF(S434="ASTROS",0.99,IF(S434="BRAVES",1,IF(S434="METS",0.96,IF(S434="PHILLIES",1.02,IF(S434="BLUE JAYS",1.01,IF(S434="ORIOLES",0.99,IF(S434="RAYS",1.01,IF(S434="GUARDIANS",0.99,IF(S434="WHITE SOX",0.98,IF(S434="ANGELS",1.01,IF(S434="D-BACKS",1.01,IF(S434="BREWERS",0.99,IF(S434="CARDINALS",0.96,IF(S434="PIRATES",1.02,IF(S434="NATIONALS",1,1))))))))))))))))))))))))))))))*IF(W434="",1,(1+((W434-70)/10*0.035)))*IF(U434="DOME",1,IF(U434="IN",1-(V434*0.01),IF(U434="OUT",1+(V434*0.01),IF(OR(U434="L-R",U434="R-L"),1+(V434*0.005),1))))</f>
        <v/>
      </c>
      <c r="U434" t="inlineStr">
        <is>
          <t>IN</t>
        </is>
      </c>
      <c r="V434" t="n">
        <v>8</v>
      </c>
      <c r="W434" t="n">
        <v>80</v>
      </c>
      <c r="Y434">
        <f>B434 &amp; " vs. " &amp; H434</f>
        <v/>
      </c>
      <c r="Z434">
        <f>TRIM(LEFT(Y434, FIND("vs.", Y434)-1))</f>
        <v/>
      </c>
      <c r="AA434">
        <f>TRIM(MID(Y434, FIND(" vs. ", Y434)+4, 100))</f>
        <v/>
      </c>
      <c r="AB434" s="35">
        <f>IF(Q434 &gt; VALUE(AC434), "O " &amp; AC434, IF(Q434 &lt; VALUE(AC434), "U " &amp; AC434, AC434))</f>
        <v/>
      </c>
      <c r="AC434" s="15">
        <f>IF(OR(O434="-", P434="-"), "-", MROUND(O434 + P434, 0.5))</f>
        <v/>
      </c>
      <c r="AD434" s="15">
        <f>VALUE(TRIM(RIGHT(AF434, LEN(AF434) - FIND(" ", AF434))))</f>
        <v/>
      </c>
      <c r="AE434" s="15">
        <f>LEFT(AF434,FIND(" ",AF434)-1)</f>
        <v/>
      </c>
      <c r="AF434" s="15">
        <f>IF(OR(O434="-", P434="-"), "-",
IF(MROUND(ABS(O434-P434),0.5)&lt;=0.5,
IF(O434&gt;P434, B434 &amp; " ML", H434 &amp; " ML"),
IF(MROUND(ABS(O434-P434),0.5)=1,
IF(O434&gt;P434, H434 &amp; " +1.5", B434 &amp; " +1.5"),
IF(O434&gt;P434, B434 &amp; " -1.5", H434 &amp; " -1.5")
)
)
)</f>
        <v/>
      </c>
      <c r="AG434" s="15">
        <f>_xlfn.LET(
_xlpm.winA, O434^1.83 / (O434^1.83 + P434^1.83),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35">
      <c r="A435" s="81" t="n">
        <v>46129</v>
      </c>
      <c r="B435" t="inlineStr">
        <is>
          <t>RAYS</t>
        </is>
      </c>
      <c r="C435">
        <f>VLOOKUP(B435, 'MLB Data'!$B$5:$D$34, 3, FALSE)</f>
        <v/>
      </c>
      <c r="D435" t="inlineStr">
        <is>
          <t>NICK MARTINEZ</t>
        </is>
      </c>
      <c r="E435" t="n">
        <v>4.46</v>
      </c>
      <c r="F435" s="17">
        <f>VLOOKUP(B435, 'MLB Data'!$F$2:$H$34, 3, FALSE)</f>
        <v/>
      </c>
      <c r="G435" s="17">
        <f>IF((E435*0.6+F435*0.4)&lt;2.5, 2.8, IF((E435*0.6+F435*0.4)&gt;5.5, 5.2, (E435*0.6+F435*0.4)))</f>
        <v/>
      </c>
      <c r="H435" t="inlineStr">
        <is>
          <t>PIRATES</t>
        </is>
      </c>
      <c r="I435">
        <f>VLOOKUP(H435, 'MLB Data'!$B$5:$D$34, 3, FALSE)</f>
        <v/>
      </c>
      <c r="J435" t="inlineStr">
        <is>
          <t>BUBBA CHANDLER</t>
        </is>
      </c>
      <c r="K435" t="n">
        <v>3.17</v>
      </c>
      <c r="L435" s="17">
        <f>VLOOKUP(H435, 'MLB Data'!$F$2:$H$34, 3, FALSE)</f>
        <v/>
      </c>
      <c r="M435" s="17">
        <f>IF((K435*0.6+L435*0.4)&lt;2.5, 2.8, IF((K435*0.6+L435*0.4)&gt;5.5, 5.2, (K435*0.6+L435*0.4)))</f>
        <v/>
      </c>
      <c r="O435" s="18">
        <f>(C435/100) * 4.1 * (M435 / 4.2) * T435</f>
        <v/>
      </c>
      <c r="P435" s="18">
        <f>(I435/100) * 4.05 * (G435 / 4.2) * T435</f>
        <v/>
      </c>
      <c r="Q435" s="18">
        <f>(O435+P435)</f>
        <v/>
      </c>
      <c r="S435" s="15">
        <f>H435</f>
        <v/>
      </c>
      <c r="T435" s="19">
        <f>IF(S435="ROCKIES",1.13,IF(S435="ATHLETICS",1.03,IF(S435="ROYALS",1.03,IF(S435="TWINS",1,IF(S435="TIGERS",1,IF(S435="MARLINS",1.01,IF(S435="REDS",1.05,IF(S435="RED SOX",1.04,IF(S435="YANKEES",1.02,IF(S435="DODGERS",0.99,IF(S435="PADRES",0.96,IF(S435="CUBS",0.98,IF(S435="GIANTS",0.97,IF(S435="MARINERS",0.94,IF(S435="RANGERS",1,IF(S435="ASTROS",0.99,IF(S435="BRAVES",1,IF(S435="METS",0.96,IF(S435="PHILLIES",1.02,IF(S435="BLUE JAYS",1.01,IF(S435="ORIOLES",0.99,IF(S435="RAYS",1.01,IF(S435="GUARDIANS",0.99,IF(S435="WHITE SOX",0.98,IF(S435="ANGELS",1.01,IF(S435="D-BACKS",1.01,IF(S435="BREWERS",0.99,IF(S435="CARDINALS",0.96,IF(S435="PIRATES",1.02,IF(S435="NATIONALS",1,1))))))))))))))))))))))))))))))*IF(W435="",1,(1+((W435-70)/10*0.035)))*IF(U435="DOME",1,IF(U435="IN",1-(V435*0.01),IF(U435="OUT",1+(V435*0.01),IF(OR(U435="L-R",U435="R-L"),1+(V435*0.005),1))))</f>
        <v/>
      </c>
      <c r="U435" t="inlineStr">
        <is>
          <t>IN</t>
        </is>
      </c>
      <c r="V435" t="n">
        <v>2</v>
      </c>
      <c r="W435" t="n">
        <v>76</v>
      </c>
      <c r="Y435">
        <f>B435 &amp; " vs. " &amp; H435</f>
        <v/>
      </c>
      <c r="Z435">
        <f>TRIM(LEFT(Y435, FIND("vs.", Y435)-1))</f>
        <v/>
      </c>
      <c r="AA435">
        <f>TRIM(MID(Y435, FIND(" vs. ", Y435)+4, 100))</f>
        <v/>
      </c>
      <c r="AB435" s="35">
        <f>IF(Q435 &gt; VALUE(AC435), "O " &amp; AC435, IF(Q435 &lt; VALUE(AC435), "U " &amp; AC435, AC435))</f>
        <v/>
      </c>
      <c r="AC435" s="15">
        <f>IF(OR(O435="-", P435="-"), "-", MROUND(O435 + P435, 0.5))</f>
        <v/>
      </c>
      <c r="AD435" s="15">
        <f>VALUE(TRIM(RIGHT(AF435, LEN(AF435) - FIND(" ", AF435))))</f>
        <v/>
      </c>
      <c r="AE435" s="15">
        <f>LEFT(AF435,FIND(" ",AF435)-1)</f>
        <v/>
      </c>
      <c r="AF435" s="15">
        <f>IF(OR(O435="-", P435="-"), "-",
IF(MROUND(ABS(O435-P435),0.5)&lt;=0.5,
IF(O435&gt;P435, B435 &amp; " ML", H435 &amp; " ML"),
IF(MROUND(ABS(O435-P435),0.5)=1,
IF(O435&gt;P435, H435 &amp; " +1.5", B435 &amp; " +1.5"),
IF(O435&gt;P435, B435 &amp; " -1.5", H435 &amp; " -1.5")
)
)
)</f>
        <v/>
      </c>
      <c r="AG435" s="15">
        <f>_xlfn.LET(
_xlpm.winA, O435^1.83 / (O435^1.83 + P435^1.83),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36">
      <c r="A436" s="81" t="n">
        <v>46129</v>
      </c>
      <c r="B436" t="inlineStr">
        <is>
          <t>ROYALS</t>
        </is>
      </c>
      <c r="C436">
        <f>VLOOKUP(B436, 'MLB Data'!$B$5:$D$34, 3, FALSE)</f>
        <v/>
      </c>
      <c r="D436" t="inlineStr">
        <is>
          <t>MICHAEL WACHA</t>
        </is>
      </c>
      <c r="E436" t="n">
        <v>4.48</v>
      </c>
      <c r="F436" s="17">
        <f>VLOOKUP(B436, 'MLB Data'!$F$2:$H$34, 3, FALSE)</f>
        <v/>
      </c>
      <c r="G436" s="17">
        <f>IF((E436*0.6+F436*0.4)&lt;2.5, 2.8, IF((E436*0.6+F436*0.4)&gt;5.5, 5.2, (E436*0.6+F436*0.4)))</f>
        <v/>
      </c>
      <c r="H436" t="inlineStr">
        <is>
          <t>YANKEES</t>
        </is>
      </c>
      <c r="I436">
        <f>VLOOKUP(H436, 'MLB Data'!$B$5:$D$34, 3, FALSE)</f>
        <v/>
      </c>
      <c r="J436" t="inlineStr">
        <is>
          <t>CAM SCHLITTLER</t>
        </is>
      </c>
      <c r="K436" t="n">
        <v>3.54</v>
      </c>
      <c r="L436" s="17">
        <f>VLOOKUP(H436, 'MLB Data'!$F$2:$H$34, 3, FALSE)</f>
        <v/>
      </c>
      <c r="M436" s="17">
        <f>IF((K436*0.6+L436*0.4)&lt;2.5, 2.8, IF((K436*0.6+L436*0.4)&gt;5.5, 5.2, (K436*0.6+L436*0.4)))</f>
        <v/>
      </c>
      <c r="O436" s="18">
        <f>(C436/100) * 4.1 * (M436 / 4.2) * T436</f>
        <v/>
      </c>
      <c r="P436" s="18">
        <f>(I436/100) * 4.05 * (G436 / 4.2) * T436</f>
        <v/>
      </c>
      <c r="Q436" s="18">
        <f>(O436+P436)</f>
        <v/>
      </c>
      <c r="S436" s="15">
        <f>H436</f>
        <v/>
      </c>
      <c r="T436" s="19">
        <f>IF(S436="ROCKIES",1.13,IF(S436="ATHLETICS",1.03,IF(S436="ROYALS",1.03,IF(S436="TWINS",1,IF(S436="TIGERS",1,IF(S436="MARLINS",1.01,IF(S436="REDS",1.05,IF(S436="RED SOX",1.04,IF(S436="YANKEES",1.02,IF(S436="DODGERS",0.99,IF(S436="PADRES",0.96,IF(S436="CUBS",0.98,IF(S436="GIANTS",0.97,IF(S436="MARINERS",0.94,IF(S436="RANGERS",1,IF(S436="ASTROS",0.99,IF(S436="BRAVES",1,IF(S436="METS",0.96,IF(S436="PHILLIES",1.02,IF(S436="BLUE JAYS",1.01,IF(S436="ORIOLES",0.99,IF(S436="RAYS",1.01,IF(S436="GUARDIANS",0.99,IF(S436="WHITE SOX",0.98,IF(S436="ANGELS",1.01,IF(S436="D-BACKS",1.01,IF(S436="BREWERS",0.99,IF(S436="CARDINALS",0.96,IF(S436="PIRATES",1.02,IF(S436="NATIONALS",1,1))))))))))))))))))))))))))))))*IF(W436="",1,(1+((W436-70)/10*0.035)))*IF(U436="DOME",1,IF(U436="IN",1-(V436*0.01),IF(U436="OUT",1+(V436*0.01),IF(OR(U436="L-R",U436="R-L"),1+(V436*0.005),1))))</f>
        <v/>
      </c>
      <c r="U436" t="inlineStr">
        <is>
          <t>IN</t>
        </is>
      </c>
      <c r="V436" t="n">
        <v>8</v>
      </c>
      <c r="W436" t="n">
        <v>75</v>
      </c>
      <c r="Y436">
        <f>B436 &amp; " vs. " &amp; H436</f>
        <v/>
      </c>
      <c r="Z436">
        <f>TRIM(LEFT(Y436, FIND("vs.", Y436)-1))</f>
        <v/>
      </c>
      <c r="AA436">
        <f>TRIM(MID(Y436, FIND(" vs. ", Y436)+4, 100))</f>
        <v/>
      </c>
      <c r="AB436" s="35">
        <f>IF(Q436 &gt; VALUE(AC436), "O " &amp; AC436, IF(Q436 &lt; VALUE(AC436), "U " &amp; AC436, AC436))</f>
        <v/>
      </c>
      <c r="AC436" s="15">
        <f>IF(OR(O436="-", P436="-"), "-", MROUND(O436 + P436, 0.5))</f>
        <v/>
      </c>
      <c r="AD436" s="15">
        <f>VALUE(TRIM(RIGHT(AF436, LEN(AF436) - FIND(" ", AF436))))</f>
        <v/>
      </c>
      <c r="AE436" s="15">
        <f>LEFT(AF436,FIND(" ",AF436)-1)</f>
        <v/>
      </c>
      <c r="AF436" s="15">
        <f>IF(OR(O436="-", P436="-"), "-",
IF(MROUND(ABS(O436-P436),0.5)&lt;=0.5,
IF(O436&gt;P436, B436 &amp; " ML", H436 &amp; " ML"),
IF(MROUND(ABS(O436-P436),0.5)=1,
IF(O436&gt;P436, H436 &amp; " +1.5", B436 &amp; " +1.5"),
IF(O436&gt;P436, B436 &amp; " -1.5", H436 &amp; " -1.5")
)
)
)</f>
        <v/>
      </c>
      <c r="AG436" s="15">
        <f>_xlfn.LET(
_xlpm.winA, O436^1.83 / (O436^1.83 + P436^1.83),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37">
      <c r="A437" s="81" t="n">
        <v>46129</v>
      </c>
      <c r="B437" t="inlineStr">
        <is>
          <t>BREWERS</t>
        </is>
      </c>
      <c r="C437">
        <f>VLOOKUP(B437, 'MLB Data'!$B$5:$D$34, 3, FALSE)</f>
        <v/>
      </c>
      <c r="D437" t="inlineStr">
        <is>
          <t>COLEMAN CROW</t>
        </is>
      </c>
      <c r="F437" s="17">
        <f>VLOOKUP(B437, 'MLB Data'!$F$2:$H$34, 3, FALSE)</f>
        <v/>
      </c>
      <c r="G437" s="17">
        <f>IF((E437*0.6+F437*0.4)&lt;2.5, 2.8, IF((E437*0.6+F437*0.4)&gt;5.5, 5.2, (E437*0.6+F437*0.4)))</f>
        <v/>
      </c>
      <c r="H437" t="inlineStr">
        <is>
          <t>MARLINS</t>
        </is>
      </c>
      <c r="I437">
        <f>VLOOKUP(H437, 'MLB Data'!$B$5:$D$34, 3, FALSE)</f>
        <v/>
      </c>
      <c r="J437" t="inlineStr">
        <is>
          <t>JANSON JUNK</t>
        </is>
      </c>
      <c r="K437" t="n">
        <v>4.32</v>
      </c>
      <c r="L437" s="17">
        <f>VLOOKUP(H437, 'MLB Data'!$F$2:$H$34, 3, FALSE)</f>
        <v/>
      </c>
      <c r="M437" s="17">
        <f>IF((K437*0.6+L437*0.4)&lt;2.5, 2.8, IF((K437*0.6+L437*0.4)&gt;5.5, 5.2, (K437*0.6+L437*0.4)))</f>
        <v/>
      </c>
      <c r="O437" s="18">
        <f>(C437/100) * 4.1 * (M437 / 4.2) * T437</f>
        <v/>
      </c>
      <c r="P437" s="18">
        <f>(I437/100) * 4.05 * (G437 / 4.2) * T437</f>
        <v/>
      </c>
      <c r="Q437" s="18">
        <f>(O437+P437)</f>
        <v/>
      </c>
      <c r="S437" s="15">
        <f>H437</f>
        <v/>
      </c>
      <c r="T437" s="19">
        <f>IF(S437="ROCKIES",1.13,IF(S437="ATHLETICS",1.03,IF(S437="ROYALS",1.03,IF(S437="TWINS",1,IF(S437="TIGERS",1,IF(S437="MARLINS",1.01,IF(S437="REDS",1.05,IF(S437="RED SOX",1.04,IF(S437="YANKEES",1.02,IF(S437="DODGERS",0.99,IF(S437="PADRES",0.96,IF(S437="CUBS",0.98,IF(S437="GIANTS",0.97,IF(S437="MARINERS",0.94,IF(S437="RANGERS",1,IF(S437="ASTROS",0.99,IF(S437="BRAVES",1,IF(S437="METS",0.96,IF(S437="PHILLIES",1.02,IF(S437="BLUE JAYS",1.01,IF(S437="ORIOLES",0.99,IF(S437="RAYS",1.01,IF(S437="GUARDIANS",0.99,IF(S437="WHITE SOX",0.98,IF(S437="ANGELS",1.01,IF(S437="D-BACKS",1.01,IF(S437="BREWERS",0.99,IF(S437="CARDINALS",0.96,IF(S437="PIRATES",1.02,IF(S437="NATIONALS",1,1))))))))))))))))))))))))))))))*IF(W437="",1,(1+((W437-70)/10*0.035)))*IF(U437="DOME",1,IF(U437="IN",1-(V437*0.01),IF(U437="OUT",1+(V437*0.01),IF(OR(U437="L-R",U437="R-L"),1+(V437*0.005),1))))</f>
        <v/>
      </c>
      <c r="U437" t="inlineStr">
        <is>
          <t>DOME</t>
        </is>
      </c>
      <c r="V437" t="n">
        <v>0</v>
      </c>
      <c r="Y437">
        <f>B437 &amp; " vs. " &amp; H437</f>
        <v/>
      </c>
      <c r="Z437">
        <f>TRIM(LEFT(Y437, FIND("vs.", Y437)-1))</f>
        <v/>
      </c>
      <c r="AA437">
        <f>TRIM(MID(Y437, FIND(" vs. ", Y437)+4, 100))</f>
        <v/>
      </c>
      <c r="AB437" s="35">
        <f>IF(Q437 &gt; VALUE(AC437), "O " &amp; AC437, IF(Q437 &lt; VALUE(AC437), "U " &amp; AC437, AC437))</f>
        <v/>
      </c>
      <c r="AC437" s="15">
        <f>IF(OR(O437="-", P437="-"), "-", MROUND(O437 + P437, 0.5))</f>
        <v/>
      </c>
      <c r="AD437" s="15">
        <f>VALUE(TRIM(RIGHT(AF437, LEN(AF437) - FIND(" ", AF437))))</f>
        <v/>
      </c>
      <c r="AE437" s="15">
        <f>LEFT(AF437,FIND(" ",AF437)-1)</f>
        <v/>
      </c>
      <c r="AF437" s="15">
        <f>IF(OR(O437="-", P437="-"), "-",
IF(MROUND(ABS(O437-P437),0.5)&lt;=0.5,
IF(O437&gt;P437, B437 &amp; " ML", H437 &amp; " ML"),
IF(MROUND(ABS(O437-P437),0.5)=1,
IF(O437&gt;P437, H437 &amp; " +1.5", B437 &amp; " +1.5"),
IF(O437&gt;P437, B437 &amp; " -1.5", H437 &amp; " -1.5")
)
)
)</f>
        <v/>
      </c>
      <c r="AG437" s="15">
        <f>_xlfn.LET(
_xlpm.winA, O437^1.83 / (O437^1.83 + P437^1.83),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38">
      <c r="A438" s="81" t="n">
        <v>46129</v>
      </c>
      <c r="B438" t="inlineStr">
        <is>
          <t>TIGERS</t>
        </is>
      </c>
      <c r="C438">
        <f>VLOOKUP(B438, 'MLB Data'!$B$5:$D$34, 3, FALSE)</f>
        <v/>
      </c>
      <c r="D438" t="inlineStr">
        <is>
          <t>CASEY MIZE</t>
        </is>
      </c>
      <c r="E438" t="n">
        <v>3.96</v>
      </c>
      <c r="F438" s="17">
        <f>VLOOKUP(B438, 'MLB Data'!$F$2:$H$34, 3, FALSE)</f>
        <v/>
      </c>
      <c r="G438" s="17">
        <f>IF((E438*0.6+F438*0.4)&lt;2.5, 2.8, IF((E438*0.6+F438*0.4)&gt;5.5, 5.2, (E438*0.6+F438*0.4)))</f>
        <v/>
      </c>
      <c r="H438" t="inlineStr">
        <is>
          <t>RED SOX</t>
        </is>
      </c>
      <c r="I438">
        <f>VLOOKUP(H438, 'MLB Data'!$B$5:$D$34, 3, FALSE)</f>
        <v/>
      </c>
      <c r="J438" t="inlineStr">
        <is>
          <t>RANGER SUAREZ</t>
        </is>
      </c>
      <c r="K438" t="n">
        <v>3.62</v>
      </c>
      <c r="L438" s="17">
        <f>VLOOKUP(H438, 'MLB Data'!$F$2:$H$34, 3, FALSE)</f>
        <v/>
      </c>
      <c r="M438" s="17">
        <f>IF((K438*0.6+L438*0.4)&lt;2.5, 2.8, IF((K438*0.6+L438*0.4)&gt;5.5, 5.2, (K438*0.6+L438*0.4)))</f>
        <v/>
      </c>
      <c r="O438" s="18">
        <f>(C438/100) * 4.1 * (M438 / 4.2) * T438</f>
        <v/>
      </c>
      <c r="P438" s="18">
        <f>(I438/100) * 4.05 * (G438 / 4.2) * T438</f>
        <v/>
      </c>
      <c r="Q438" s="18">
        <f>(O438+P438)</f>
        <v/>
      </c>
      <c r="S438" s="15">
        <f>H438</f>
        <v/>
      </c>
      <c r="T438" s="19">
        <f>IF(S438="ROCKIES",1.13,IF(S438="ATHLETICS",1.03,IF(S438="ROYALS",1.03,IF(S438="TWINS",1,IF(S438="TIGERS",1,IF(S438="MARLINS",1.01,IF(S438="REDS",1.05,IF(S438="RED SOX",1.04,IF(S438="YANKEES",1.02,IF(S438="DODGERS",0.99,IF(S438="PADRES",0.96,IF(S438="CUBS",0.98,IF(S438="GIANTS",0.97,IF(S438="MARINERS",0.94,IF(S438="RANGERS",1,IF(S438="ASTROS",0.99,IF(S438="BRAVES",1,IF(S438="METS",0.96,IF(S438="PHILLIES",1.02,IF(S438="BLUE JAYS",1.01,IF(S438="ORIOLES",0.99,IF(S438="RAYS",1.01,IF(S438="GUARDIANS",0.99,IF(S438="WHITE SOX",0.98,IF(S438="ANGELS",1.01,IF(S438="D-BACKS",1.01,IF(S438="BREWERS",0.99,IF(S438="CARDINALS",0.96,IF(S438="PIRATES",1.02,IF(S438="NATIONALS",1,1))))))))))))))))))))))))))))))*IF(W438="",1,(1+((W438-70)/10*0.035)))*IF(U438="DOME",1,IF(U438="IN",1-(V438*0.01),IF(U438="OUT",1+(V438*0.01),IF(OR(U438="L-R",U438="R-L"),1+(V438*0.005),1))))</f>
        <v/>
      </c>
      <c r="U438" t="inlineStr">
        <is>
          <t>IN</t>
        </is>
      </c>
      <c r="V438" t="n">
        <v>3</v>
      </c>
      <c r="W438" t="n">
        <v>56</v>
      </c>
      <c r="Y438">
        <f>B438 &amp; " vs. " &amp; H438</f>
        <v/>
      </c>
      <c r="Z438">
        <f>TRIM(LEFT(Y438, FIND("vs.", Y438)-1))</f>
        <v/>
      </c>
      <c r="AA438">
        <f>TRIM(MID(Y438, FIND(" vs. ", Y438)+4, 100))</f>
        <v/>
      </c>
      <c r="AB438" s="35">
        <f>IF(Q438 &gt; VALUE(AC438), "O " &amp; AC438, IF(Q438 &lt; VALUE(AC438), "U " &amp; AC438, AC438))</f>
        <v/>
      </c>
      <c r="AC438" s="15">
        <f>IF(OR(O438="-", P438="-"), "-", MROUND(O438 + P438, 0.5))</f>
        <v/>
      </c>
      <c r="AD438" s="15">
        <f>VALUE(TRIM(RIGHT(AF438, LEN(AF438) - FIND(" ", AF438))))</f>
        <v/>
      </c>
      <c r="AE438" s="15">
        <f>LEFT(AF438,FIND(" ",AF438)-1)</f>
        <v/>
      </c>
      <c r="AF438" s="15">
        <f>IF(OR(O438="-", P438="-"), "-",
IF(MROUND(ABS(O438-P438),0.5)&lt;=0.5,
IF(O438&gt;P438, B438 &amp; " ML", H438 &amp; " ML"),
IF(MROUND(ABS(O438-P438),0.5)=1,
IF(O438&gt;P438, H438 &amp; " +1.5", B438 &amp; " +1.5"),
IF(O438&gt;P438, B438 &amp; " -1.5", H438 &amp; " -1.5")
)
)
)</f>
        <v/>
      </c>
      <c r="AG438" s="15">
        <f>_xlfn.LET(
_xlpm.winA, O438^1.83 / (O438^1.83 + P438^1.83),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39">
      <c r="A439" s="81" t="n">
        <v>46129</v>
      </c>
      <c r="B439" t="inlineStr">
        <is>
          <t>CARDINALS</t>
        </is>
      </c>
      <c r="C439">
        <f>VLOOKUP(B439, 'MLB Data'!$B$5:$D$34, 3, FALSE)</f>
        <v/>
      </c>
      <c r="D439" t="inlineStr">
        <is>
          <t>KYLE LEAHY</t>
        </is>
      </c>
      <c r="E439" t="n">
        <v>3.69</v>
      </c>
      <c r="F439" s="17">
        <f>VLOOKUP(B439, 'MLB Data'!$F$2:$H$34, 3, FALSE)</f>
        <v/>
      </c>
      <c r="G439" s="17">
        <f>IF((E439*0.6+F439*0.4)&lt;2.5, 2.8, IF((E439*0.6+F439*0.4)&gt;5.5, 5.2, (E439*0.6+F439*0.4)))</f>
        <v/>
      </c>
      <c r="H439" t="inlineStr">
        <is>
          <t>ASTROS</t>
        </is>
      </c>
      <c r="I439">
        <f>VLOOKUP(H439, 'MLB Data'!$B$5:$D$34, 3, FALSE)</f>
        <v/>
      </c>
      <c r="J439" t="inlineStr">
        <is>
          <t>PETER LAMBERT</t>
        </is>
      </c>
      <c r="L439" s="17">
        <f>VLOOKUP(H439, 'MLB Data'!$F$2:$H$34, 3, FALSE)</f>
        <v/>
      </c>
      <c r="M439" s="17">
        <f>IF((K439*0.6+L439*0.4)&lt;2.5, 2.8, IF((K439*0.6+L439*0.4)&gt;5.5, 5.2, (K439*0.6+L439*0.4)))</f>
        <v/>
      </c>
      <c r="O439" s="18">
        <f>(C439/100) * 4.1 * (M439 / 4.2) * T439</f>
        <v/>
      </c>
      <c r="P439" s="18">
        <f>(I439/100) * 4.05 * (G439 / 4.2) * T439</f>
        <v/>
      </c>
      <c r="Q439" s="18">
        <f>(O439+P439)</f>
        <v/>
      </c>
      <c r="S439" s="15">
        <f>H439</f>
        <v/>
      </c>
      <c r="T439" s="19">
        <f>IF(S439="ROCKIES",1.13,IF(S439="ATHLETICS",1.03,IF(S439="ROYALS",1.03,IF(S439="TWINS",1,IF(S439="TIGERS",1,IF(S439="MARLINS",1.01,IF(S439="REDS",1.05,IF(S439="RED SOX",1.04,IF(S439="YANKEES",1.02,IF(S439="DODGERS",0.99,IF(S439="PADRES",0.96,IF(S439="CUBS",0.98,IF(S439="GIANTS",0.97,IF(S439="MARINERS",0.94,IF(S439="RANGERS",1,IF(S439="ASTROS",0.99,IF(S439="BRAVES",1,IF(S439="METS",0.96,IF(S439="PHILLIES",1.02,IF(S439="BLUE JAYS",1.01,IF(S439="ORIOLES",0.99,IF(S439="RAYS",1.01,IF(S439="GUARDIANS",0.99,IF(S439="WHITE SOX",0.98,IF(S439="ANGELS",1.01,IF(S439="D-BACKS",1.01,IF(S439="BREWERS",0.99,IF(S439="CARDINALS",0.96,IF(S439="PIRATES",1.02,IF(S439="NATIONALS",1,1))))))))))))))))))))))))))))))*IF(W439="",1,(1+((W439-70)/10*0.035)))*IF(U439="DOME",1,IF(U439="IN",1-(V439*0.01),IF(U439="OUT",1+(V439*0.01),IF(OR(U439="L-R",U439="R-L"),1+(V439*0.005),1))))</f>
        <v/>
      </c>
      <c r="U439" t="inlineStr">
        <is>
          <t>DOME</t>
        </is>
      </c>
      <c r="V439" t="n">
        <v>0</v>
      </c>
      <c r="Y439">
        <f>B439 &amp; " vs. " &amp; H439</f>
        <v/>
      </c>
      <c r="Z439">
        <f>TRIM(LEFT(Y439, FIND("vs.", Y439)-1))</f>
        <v/>
      </c>
      <c r="AA439">
        <f>TRIM(MID(Y439, FIND(" vs. ", Y439)+4, 100))</f>
        <v/>
      </c>
      <c r="AB439" s="35">
        <f>IF(Q439 &gt; VALUE(AC439), "O " &amp; AC439, IF(Q439 &lt; VALUE(AC439), "U " &amp; AC439, AC439))</f>
        <v/>
      </c>
      <c r="AC439" s="15">
        <f>IF(OR(O439="-", P439="-"), "-", MROUND(O439 + P439, 0.5))</f>
        <v/>
      </c>
      <c r="AD439" s="15">
        <f>VALUE(TRIM(RIGHT(AF439, LEN(AF439) - FIND(" ", AF439))))</f>
        <v/>
      </c>
      <c r="AE439" s="15">
        <f>LEFT(AF439,FIND(" ",AF439)-1)</f>
        <v/>
      </c>
      <c r="AF439" s="15">
        <f>IF(OR(O439="-", P439="-"), "-",
IF(MROUND(ABS(O439-P439),0.5)&lt;=0.5,
IF(O439&gt;P439, B439 &amp; " ML", H439 &amp; " ML"),
IF(MROUND(ABS(O439-P439),0.5)=1,
IF(O439&gt;P439, H439 &amp; " +1.5", B439 &amp; " +1.5"),
IF(O439&gt;P439, B439 &amp; " -1.5", H439 &amp; " -1.5")
)
)
)</f>
        <v/>
      </c>
      <c r="AG439" s="15">
        <f>_xlfn.LET(
_xlpm.winA, O439^1.83 / (O439^1.83 + P439^1.83),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40">
      <c r="A440" s="81" t="n">
        <v>46129</v>
      </c>
      <c r="B440" t="inlineStr">
        <is>
          <t>REDS</t>
        </is>
      </c>
      <c r="C440">
        <f>VLOOKUP(B440, 'MLB Data'!$B$5:$D$34, 3, FALSE)</f>
        <v/>
      </c>
      <c r="D440" t="inlineStr">
        <is>
          <t>BRANDON WILLIAMSON</t>
        </is>
      </c>
      <c r="E440" t="n">
        <v>5.89</v>
      </c>
      <c r="F440" s="17">
        <f>VLOOKUP(B440, 'MLB Data'!$F$2:$H$34, 3, FALSE)</f>
        <v/>
      </c>
      <c r="G440" s="17">
        <f>IF((E440*0.6+F440*0.4)&lt;2.5, 2.8, IF((E440*0.6+F440*0.4)&gt;5.5, 5.2, (E440*0.6+F440*0.4)))</f>
        <v/>
      </c>
      <c r="H440" t="inlineStr">
        <is>
          <t>TWINS</t>
        </is>
      </c>
      <c r="I440">
        <f>VLOOKUP(H440, 'MLB Data'!$B$5:$D$34, 3, FALSE)</f>
        <v/>
      </c>
      <c r="J440" t="inlineStr">
        <is>
          <t>JOE RYAN</t>
        </is>
      </c>
      <c r="K440" t="n">
        <v>3.7</v>
      </c>
      <c r="L440" s="17">
        <f>VLOOKUP(H440, 'MLB Data'!$F$2:$H$34, 3, FALSE)</f>
        <v/>
      </c>
      <c r="M440" s="17">
        <f>IF((K440*0.6+L440*0.4)&lt;2.5, 2.8, IF((K440*0.6+L440*0.4)&gt;5.5, 5.2, (K440*0.6+L440*0.4)))</f>
        <v/>
      </c>
      <c r="O440" s="18">
        <f>(C440/100) * 4.1 * (M440 / 4.2) * T440</f>
        <v/>
      </c>
      <c r="P440" s="18">
        <f>(I440/100) * 4.05 * (G440 / 4.2) * T440</f>
        <v/>
      </c>
      <c r="Q440" s="18">
        <f>(O440+P440)</f>
        <v/>
      </c>
      <c r="S440" s="15">
        <f>H440</f>
        <v/>
      </c>
      <c r="T440" s="19">
        <f>IF(S440="ROCKIES",1.13,IF(S440="ATHLETICS",1.03,IF(S440="ROYALS",1.03,IF(S440="TWINS",1,IF(S440="TIGERS",1,IF(S440="MARLINS",1.01,IF(S440="REDS",1.05,IF(S440="RED SOX",1.04,IF(S440="YANKEES",1.02,IF(S440="DODGERS",0.99,IF(S440="PADRES",0.96,IF(S440="CUBS",0.98,IF(S440="GIANTS",0.97,IF(S440="MARINERS",0.94,IF(S440="RANGERS",1,IF(S440="ASTROS",0.99,IF(S440="BRAVES",1,IF(S440="METS",0.96,IF(S440="PHILLIES",1.02,IF(S440="BLUE JAYS",1.01,IF(S440="ORIOLES",0.99,IF(S440="RAYS",1.01,IF(S440="GUARDIANS",0.99,IF(S440="WHITE SOX",0.98,IF(S440="ANGELS",1.01,IF(S440="D-BACKS",1.01,IF(S440="BREWERS",0.99,IF(S440="CARDINALS",0.96,IF(S440="PIRATES",1.02,IF(S440="NATIONALS",1,1))))))))))))))))))))))))))))))*IF(W440="",1,(1+((W440-70)/10*0.035)))*IF(U440="DOME",1,IF(U440="IN",1-(V440*0.01),IF(U440="OUT",1+(V440*0.01),IF(OR(U440="L-R",U440="R-L"),1+(V440*0.005),1))))</f>
        <v/>
      </c>
      <c r="U440" t="inlineStr">
        <is>
          <t>IN</t>
        </is>
      </c>
      <c r="V440" t="n">
        <v>13</v>
      </c>
      <c r="W440" t="n">
        <v>42</v>
      </c>
      <c r="Y440">
        <f>B440 &amp; " vs. " &amp; H440</f>
        <v/>
      </c>
      <c r="Z440">
        <f>TRIM(LEFT(Y440, FIND("vs.", Y440)-1))</f>
        <v/>
      </c>
      <c r="AA440">
        <f>TRIM(MID(Y440, FIND(" vs. ", Y440)+4, 100))</f>
        <v/>
      </c>
      <c r="AB440" s="35">
        <f>IF(Q440 &gt; VALUE(AC440), "O " &amp; AC440, IF(Q440 &lt; VALUE(AC440), "U " &amp; AC440, AC440))</f>
        <v/>
      </c>
      <c r="AC440" s="15">
        <f>IF(OR(O440="-", P440="-"), "-", MROUND(O440 + P440, 0.5))</f>
        <v/>
      </c>
      <c r="AD440" s="15">
        <f>VALUE(TRIM(RIGHT(AF440, LEN(AF440) - FIND(" ", AF440))))</f>
        <v/>
      </c>
      <c r="AE440" s="15">
        <f>LEFT(AF440,FIND(" ",AF440)-1)</f>
        <v/>
      </c>
      <c r="AF440" s="15">
        <f>IF(OR(O440="-", P440="-"), "-",
IF(MROUND(ABS(O440-P440),0.5)&lt;=0.5,
IF(O440&gt;P440, B440 &amp; " ML", H440 &amp; " ML"),
IF(MROUND(ABS(O440-P440),0.5)=1,
IF(O440&gt;P440, H440 &amp; " +1.5", B440 &amp; " +1.5"),
IF(O440&gt;P440, B440 &amp; " -1.5", H440 &amp; " -1.5")
)
)
)</f>
        <v/>
      </c>
      <c r="AG440" s="15">
        <f>_xlfn.LET(
_xlpm.winA, O440^1.83 / (O440^1.83 + P440^1.83),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41">
      <c r="A441" s="81" t="n">
        <v>46129</v>
      </c>
      <c r="B441" t="inlineStr">
        <is>
          <t>DODGERS</t>
        </is>
      </c>
      <c r="C441">
        <f>VLOOKUP(B441, 'MLB Data'!$B$5:$D$34, 3, FALSE)</f>
        <v/>
      </c>
      <c r="D441" t="inlineStr">
        <is>
          <t>TYLER GLASNOW</t>
        </is>
      </c>
      <c r="E441" t="n">
        <v>3.64</v>
      </c>
      <c r="F441" s="17">
        <f>VLOOKUP(B441, 'MLB Data'!$F$2:$H$34, 3, FALSE)</f>
        <v/>
      </c>
      <c r="G441" s="17">
        <f>IF((E441*0.6+F441*0.4)&lt;2.5, 2.8, IF((E441*0.6+F441*0.4)&gt;5.5, 5.2, (E441*0.6+F441*0.4)))</f>
        <v/>
      </c>
      <c r="H441" t="inlineStr">
        <is>
          <t>ROCKIES</t>
        </is>
      </c>
      <c r="I441">
        <f>VLOOKUP(H441, 'MLB Data'!$B$5:$D$34, 3, FALSE)</f>
        <v/>
      </c>
      <c r="J441" t="inlineStr">
        <is>
          <t>TOMOYUKI SUGANO</t>
        </is>
      </c>
      <c r="K441" t="n">
        <v>4.64</v>
      </c>
      <c r="L441" s="17">
        <f>VLOOKUP(H441, 'MLB Data'!$F$2:$H$34, 3, FALSE)</f>
        <v/>
      </c>
      <c r="M441" s="17">
        <f>IF((K441*0.6+L441*0.4)&lt;2.5, 2.8, IF((K441*0.6+L441*0.4)&gt;5.5, 5.2, (K441*0.6+L441*0.4)))</f>
        <v/>
      </c>
      <c r="O441" s="18">
        <f>(C441/100) * 4.1 * (M441 / 4.2) * T441</f>
        <v/>
      </c>
      <c r="P441" s="18">
        <f>(I441/100) * 4.05 * (G441 / 4.2) * T441</f>
        <v/>
      </c>
      <c r="Q441" s="18">
        <f>(O441+P441)</f>
        <v/>
      </c>
      <c r="S441" s="15">
        <f>H441</f>
        <v/>
      </c>
      <c r="T441" s="19">
        <f>IF(S441="ROCKIES",1.13,IF(S441="ATHLETICS",1.03,IF(S441="ROYALS",1.03,IF(S441="TWINS",1,IF(S441="TIGERS",1,IF(S441="MARLINS",1.01,IF(S441="REDS",1.05,IF(S441="RED SOX",1.04,IF(S441="YANKEES",1.02,IF(S441="DODGERS",0.99,IF(S441="PADRES",0.96,IF(S441="CUBS",0.98,IF(S441="GIANTS",0.97,IF(S441="MARINERS",0.94,IF(S441="RANGERS",1,IF(S441="ASTROS",0.99,IF(S441="BRAVES",1,IF(S441="METS",0.96,IF(S441="PHILLIES",1.02,IF(S441="BLUE JAYS",1.01,IF(S441="ORIOLES",0.99,IF(S441="RAYS",1.01,IF(S441="GUARDIANS",0.99,IF(S441="WHITE SOX",0.98,IF(S441="ANGELS",1.01,IF(S441="D-BACKS",1.01,IF(S441="BREWERS",0.99,IF(S441="CARDINALS",0.96,IF(S441="PIRATES",1.02,IF(S441="NATIONALS",1,1))))))))))))))))))))))))))))))*IF(W441="",1,(1+((W441-70)/10*0.035)))*IF(U441="DOME",1,IF(U441="IN",1-(V441*0.01),IF(U441="OUT",1+(V441*0.01),IF(OR(U441="L-R",U441="R-L"),1+(V441*0.005),1))))</f>
        <v/>
      </c>
      <c r="U441" t="inlineStr">
        <is>
          <t>CROSS</t>
        </is>
      </c>
      <c r="V441" t="n">
        <v>4</v>
      </c>
      <c r="W441" t="n">
        <v>32</v>
      </c>
      <c r="Y441">
        <f>B441 &amp; " vs. " &amp; H441</f>
        <v/>
      </c>
      <c r="Z441">
        <f>TRIM(LEFT(Y441, FIND("vs.", Y441)-1))</f>
        <v/>
      </c>
      <c r="AA441">
        <f>TRIM(MID(Y441, FIND(" vs. ", Y441)+4, 100))</f>
        <v/>
      </c>
      <c r="AB441" s="35">
        <f>IF(Q441 &gt; VALUE(AC441), "O " &amp; AC441, IF(Q441 &lt; VALUE(AC441), "U " &amp; AC441, AC441))</f>
        <v/>
      </c>
      <c r="AC441" s="15">
        <f>IF(OR(O441="-", P441="-"), "-", MROUND(O441 + P441, 0.5))</f>
        <v/>
      </c>
      <c r="AD441" s="15">
        <f>VALUE(TRIM(RIGHT(AF441, LEN(AF441) - FIND(" ", AF441))))</f>
        <v/>
      </c>
      <c r="AE441" s="15">
        <f>LEFT(AF441,FIND(" ",AF441)-1)</f>
        <v/>
      </c>
      <c r="AF441" s="15">
        <f>IF(OR(O441="-", P441="-"), "-",
IF(MROUND(ABS(O441-P441),0.5)&lt;=0.5,
IF(O441&gt;P441, B441 &amp; " ML", H441 &amp; " ML"),
IF(MROUND(ABS(O441-P441),0.5)=1,
IF(O441&gt;P441, H441 &amp; " +1.5", B441 &amp; " +1.5"),
IF(O441&gt;P441, B441 &amp; " -1.5", H441 &amp; " -1.5")
)
)
)</f>
        <v/>
      </c>
      <c r="AG441" s="15">
        <f>_xlfn.LET(
_xlpm.winA, O441^1.83 / (O441^1.83 + P441^1.83),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42">
      <c r="A442" s="81" t="n">
        <v>46129</v>
      </c>
      <c r="B442" t="inlineStr">
        <is>
          <t>PADRES</t>
        </is>
      </c>
      <c r="C442">
        <f>VLOOKUP(B442, 'MLB Data'!$B$5:$D$34, 3, FALSE)</f>
        <v/>
      </c>
      <c r="D442" t="inlineStr">
        <is>
          <t>MATT WALDRON</t>
        </is>
      </c>
      <c r="E442" t="n">
        <v>7.03</v>
      </c>
      <c r="F442" s="17">
        <f>VLOOKUP(B442, 'MLB Data'!$F$2:$H$34, 3, FALSE)</f>
        <v/>
      </c>
      <c r="G442" s="17">
        <f>IF((E442*0.6+F442*0.4)&lt;2.5, 2.8, IF((E442*0.6+F442*0.4)&gt;5.5, 5.2, (E442*0.6+F442*0.4)))</f>
        <v/>
      </c>
      <c r="H442" t="inlineStr">
        <is>
          <t>ANGELS</t>
        </is>
      </c>
      <c r="I442">
        <f>VLOOKUP(H442, 'MLB Data'!$B$5:$D$34, 3, FALSE)</f>
        <v/>
      </c>
      <c r="J442" t="inlineStr">
        <is>
          <t>JOSÉ SORIANO</t>
        </is>
      </c>
      <c r="K442" t="n">
        <v>3.46</v>
      </c>
      <c r="L442" s="17">
        <f>VLOOKUP(H442, 'MLB Data'!$F$2:$H$34, 3, FALSE)</f>
        <v/>
      </c>
      <c r="M442" s="17">
        <f>IF((K442*0.6+L442*0.4)&lt;2.5, 2.8, IF((K442*0.6+L442*0.4)&gt;5.5, 5.2, (K442*0.6+L442*0.4)))</f>
        <v/>
      </c>
      <c r="O442" s="18">
        <f>(C442/100) * 4.1 * (M442 / 4.2) * T442</f>
        <v/>
      </c>
      <c r="P442" s="18">
        <f>(I442/100) * 4.05 * (G442 / 4.2) * T442</f>
        <v/>
      </c>
      <c r="Q442" s="18">
        <f>(O442+P442)</f>
        <v/>
      </c>
      <c r="S442" s="15">
        <f>H442</f>
        <v/>
      </c>
      <c r="T442" s="19">
        <f>IF(S442="ROCKIES",1.13,IF(S442="ATHLETICS",1.03,IF(S442="ROYALS",1.03,IF(S442="TWINS",1,IF(S442="TIGERS",1,IF(S442="MARLINS",1.01,IF(S442="REDS",1.05,IF(S442="RED SOX",1.04,IF(S442="YANKEES",1.02,IF(S442="DODGERS",0.99,IF(S442="PADRES",0.96,IF(S442="CUBS",0.98,IF(S442="GIANTS",0.97,IF(S442="MARINERS",0.94,IF(S442="RANGERS",1,IF(S442="ASTROS",0.99,IF(S442="BRAVES",1,IF(S442="METS",0.96,IF(S442="PHILLIES",1.02,IF(S442="BLUE JAYS",1.01,IF(S442="ORIOLES",0.99,IF(S442="RAYS",1.01,IF(S442="GUARDIANS",0.99,IF(S442="WHITE SOX",0.98,IF(S442="ANGELS",1.01,IF(S442="D-BACKS",1.01,IF(S442="BREWERS",0.99,IF(S442="CARDINALS",0.96,IF(S442="PIRATES",1.02,IF(S442="NATIONALS",1,1))))))))))))))))))))))))))))))*IF(W442="",1,(1+((W442-70)/10*0.035)))*IF(U442="DOME",1,IF(U442="IN",1-(V442*0.01),IF(U442="OUT",1+(V442*0.01),IF(OR(U442="L-R",U442="R-L"),1+(V442*0.005),1))))</f>
        <v/>
      </c>
      <c r="U442" t="inlineStr">
        <is>
          <t>CROSS</t>
        </is>
      </c>
      <c r="V442" t="n">
        <v>8</v>
      </c>
      <c r="W442" t="n">
        <v>75</v>
      </c>
      <c r="Y442">
        <f>B442 &amp; " vs. " &amp; H442</f>
        <v/>
      </c>
      <c r="Z442">
        <f>TRIM(LEFT(Y442, FIND("vs.", Y442)-1))</f>
        <v/>
      </c>
      <c r="AA442">
        <f>TRIM(MID(Y442, FIND(" vs. ", Y442)+4, 100))</f>
        <v/>
      </c>
      <c r="AB442" s="35">
        <f>IF(Q442 &gt; VALUE(AC442), "O " &amp; AC442, IF(Q442 &lt; VALUE(AC442), "U " &amp; AC442, AC442))</f>
        <v/>
      </c>
      <c r="AC442" s="15">
        <f>IF(OR(O442="-", P442="-"), "-", MROUND(O442 + P442, 0.5))</f>
        <v/>
      </c>
      <c r="AD442" s="15">
        <f>VALUE(TRIM(RIGHT(AF442, LEN(AF442) - FIND(" ", AF442))))</f>
        <v/>
      </c>
      <c r="AE442" s="15">
        <f>LEFT(AF442,FIND(" ",AF442)-1)</f>
        <v/>
      </c>
      <c r="AF442" s="15">
        <f>IF(OR(O442="-", P442="-"), "-",
IF(MROUND(ABS(O442-P442),0.5)&lt;=0.5,
IF(O442&gt;P442, B442 &amp; " ML", H442 &amp; " ML"),
IF(MROUND(ABS(O442-P442),0.5)=1,
IF(O442&gt;P442, H442 &amp; " +1.5", B442 &amp; " +1.5"),
IF(O442&gt;P442, B442 &amp; " -1.5", H442 &amp; " -1.5")
)
)
)</f>
        <v/>
      </c>
      <c r="AG442" s="15">
        <f>_xlfn.LET(
_xlpm.winA, O442^1.83 / (O442^1.83 + P442^1.83),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43">
      <c r="A443" s="81" t="n">
        <v>46129</v>
      </c>
      <c r="B443" t="inlineStr">
        <is>
          <t>RANGERS</t>
        </is>
      </c>
      <c r="C443">
        <f>VLOOKUP(B443, 'MLB Data'!$B$5:$D$34, 3, FALSE)</f>
        <v/>
      </c>
      <c r="D443" t="inlineStr">
        <is>
          <t>JACOB DEGROM</t>
        </is>
      </c>
      <c r="E443" t="n">
        <v>3.34</v>
      </c>
      <c r="F443" s="17">
        <f>VLOOKUP(B443, 'MLB Data'!$F$2:$H$34, 3, FALSE)</f>
        <v/>
      </c>
      <c r="G443" s="17">
        <f>IF((E443*0.6+F443*0.4)&lt;2.5, 2.8, IF((E443*0.6+F443*0.4)&gt;5.5, 5.2, (E443*0.6+F443*0.4)))</f>
        <v/>
      </c>
      <c r="H443" t="inlineStr">
        <is>
          <t>MARINERS</t>
        </is>
      </c>
      <c r="I443">
        <f>VLOOKUP(H443, 'MLB Data'!$B$5:$D$34, 3, FALSE)</f>
        <v/>
      </c>
      <c r="J443" t="inlineStr">
        <is>
          <t>LOGAN GILBERT</t>
        </is>
      </c>
      <c r="K443" t="n">
        <v>2.98</v>
      </c>
      <c r="L443" s="17">
        <f>VLOOKUP(H443, 'MLB Data'!$F$2:$H$34, 3, FALSE)</f>
        <v/>
      </c>
      <c r="M443" s="17">
        <f>IF((K443*0.6+L443*0.4)&lt;2.5, 2.8, IF((K443*0.6+L443*0.4)&gt;5.5, 5.2, (K443*0.6+L443*0.4)))</f>
        <v/>
      </c>
      <c r="O443" s="18">
        <f>(C443/100) * 4.1 * (M443 / 4.2) * T443</f>
        <v/>
      </c>
      <c r="P443" s="18">
        <f>(I443/100) * 4.05 * (G443 / 4.2) * T443</f>
        <v/>
      </c>
      <c r="Q443" s="18">
        <f>(O443+P443)</f>
        <v/>
      </c>
      <c r="S443" s="15">
        <f>H443</f>
        <v/>
      </c>
      <c r="T443" s="19">
        <f>IF(S443="ROCKIES",1.13,IF(S443="ATHLETICS",1.03,IF(S443="ROYALS",1.03,IF(S443="TWINS",1,IF(S443="TIGERS",1,IF(S443="MARLINS",1.01,IF(S443="REDS",1.05,IF(S443="RED SOX",1.04,IF(S443="YANKEES",1.02,IF(S443="DODGERS",0.99,IF(S443="PADRES",0.96,IF(S443="CUBS",0.98,IF(S443="GIANTS",0.97,IF(S443="MARINERS",0.94,IF(S443="RANGERS",1,IF(S443="ASTROS",0.99,IF(S443="BRAVES",1,IF(S443="METS",0.96,IF(S443="PHILLIES",1.02,IF(S443="BLUE JAYS",1.01,IF(S443="ORIOLES",0.99,IF(S443="RAYS",1.01,IF(S443="GUARDIANS",0.99,IF(S443="WHITE SOX",0.98,IF(S443="ANGELS",1.01,IF(S443="D-BACKS",1.01,IF(S443="BREWERS",0.99,IF(S443="CARDINALS",0.96,IF(S443="PIRATES",1.02,IF(S443="NATIONALS",1,1))))))))))))))))))))))))))))))*IF(W443="",1,(1+((W443-70)/10*0.035)))*IF(U443="DOME",1,IF(U443="IN",1-(V443*0.01),IF(U443="OUT",1+(V443*0.01),IF(OR(U443="L-R",U443="R-L"),1+(V443*0.005),1))))</f>
        <v/>
      </c>
      <c r="U443" t="inlineStr">
        <is>
          <t>IN</t>
        </is>
      </c>
      <c r="V443" t="n">
        <v>6</v>
      </c>
      <c r="W443" t="n">
        <v>53</v>
      </c>
      <c r="Y443">
        <f>B443 &amp; " vs. " &amp; H443</f>
        <v/>
      </c>
      <c r="Z443">
        <f>TRIM(LEFT(Y443, FIND("vs.", Y443)-1))</f>
        <v/>
      </c>
      <c r="AA443">
        <f>TRIM(MID(Y443, FIND(" vs. ", Y443)+4, 100))</f>
        <v/>
      </c>
      <c r="AB443" s="35">
        <f>IF(Q443 &gt; VALUE(AC443), "O " &amp; AC443, IF(Q443 &lt; VALUE(AC443), "U " &amp; AC443, AC443))</f>
        <v/>
      </c>
      <c r="AC443" s="15">
        <f>IF(OR(O443="-", P443="-"), "-", MROUND(O443 + P443, 0.5))</f>
        <v/>
      </c>
      <c r="AD443" s="15">
        <f>VALUE(TRIM(RIGHT(AF443, LEN(AF443) - FIND(" ", AF443))))</f>
        <v/>
      </c>
      <c r="AE443" s="15">
        <f>LEFT(AF443,FIND(" ",AF443)-1)</f>
        <v/>
      </c>
      <c r="AF443" s="15">
        <f>IF(OR(O443="-", P443="-"), "-",
IF(MROUND(ABS(O443-P443),0.5)&lt;=0.5,
IF(O443&gt;P443, B443 &amp; " ML", H443 &amp; " ML"),
IF(MROUND(ABS(O443-P443),0.5)=1,
IF(O443&gt;P443, H443 &amp; " +1.5", B443 &amp; " +1.5"),
IF(O443&gt;P443, B443 &amp; " -1.5", H443 &amp; " -1.5")
)
)
)</f>
        <v/>
      </c>
      <c r="AG443" s="15">
        <f>_xlfn.LET(
_xlpm.winA, O443^1.83 / (O443^1.83 + P443^1.83),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44">
      <c r="A444" s="81" t="n">
        <v>46129</v>
      </c>
      <c r="B444" t="inlineStr">
        <is>
          <t>BLUE JAYS</t>
        </is>
      </c>
      <c r="C444">
        <f>VLOOKUP(B444, 'MLB Data'!$B$5:$D$34, 3, FALSE)</f>
        <v/>
      </c>
      <c r="D444" t="inlineStr">
        <is>
          <t>BRAYDON FISHER</t>
        </is>
      </c>
      <c r="E444" t="n">
        <v>7.35</v>
      </c>
      <c r="F444" s="17">
        <f>VLOOKUP(B444, 'MLB Data'!$F$2:$H$34, 3, FALSE)</f>
        <v/>
      </c>
      <c r="G444" s="17">
        <f>IF((E444*0.6+F444*0.4)&lt;2.5, 2.8, IF((E444*0.6+F444*0.4)&gt;5.5, 5.2, (E444*0.6+F444*0.4)))</f>
        <v/>
      </c>
      <c r="H444" t="inlineStr">
        <is>
          <t>D-BACKS</t>
        </is>
      </c>
      <c r="I444">
        <f>VLOOKUP(H444, 'MLB Data'!$B$5:$D$34, 3, FALSE)</f>
        <v/>
      </c>
      <c r="J444" t="inlineStr">
        <is>
          <t>MICHAEL SOROKA</t>
        </is>
      </c>
      <c r="K444" t="n">
        <v>4.04</v>
      </c>
      <c r="L444" s="17">
        <f>VLOOKUP(H444, 'MLB Data'!$F$2:$H$34, 3, FALSE)</f>
        <v/>
      </c>
      <c r="M444" s="17">
        <f>IF((K444*0.6+L444*0.4)&lt;2.5, 2.8, IF((K444*0.6+L444*0.4)&gt;5.5, 5.2, (K444*0.6+L444*0.4)))</f>
        <v/>
      </c>
      <c r="O444" s="18">
        <f>(C444/100) * 4.1 * (M444 / 4.2) * T444</f>
        <v/>
      </c>
      <c r="P444" s="18">
        <f>(I444/100) * 4.05 * (G444 / 4.2) * T444</f>
        <v/>
      </c>
      <c r="Q444" s="18">
        <f>(O444+P444)</f>
        <v/>
      </c>
      <c r="S444" s="15">
        <f>H444</f>
        <v/>
      </c>
      <c r="T444" s="19">
        <f>IF(S444="ROCKIES",1.13,IF(S444="ATHLETICS",1.03,IF(S444="ROYALS",1.03,IF(S444="TWINS",1,IF(S444="TIGERS",1,IF(S444="MARLINS",1.01,IF(S444="REDS",1.05,IF(S444="RED SOX",1.04,IF(S444="YANKEES",1.02,IF(S444="DODGERS",0.99,IF(S444="PADRES",0.96,IF(S444="CUBS",0.98,IF(S444="GIANTS",0.97,IF(S444="MARINERS",0.94,IF(S444="RANGERS",1,IF(S444="ASTROS",0.99,IF(S444="BRAVES",1,IF(S444="METS",0.96,IF(S444="PHILLIES",1.02,IF(S444="BLUE JAYS",1.01,IF(S444="ORIOLES",0.99,IF(S444="RAYS",1.01,IF(S444="GUARDIANS",0.99,IF(S444="WHITE SOX",0.98,IF(S444="ANGELS",1.01,IF(S444="D-BACKS",1.01,IF(S444="BREWERS",0.99,IF(S444="CARDINALS",0.96,IF(S444="PIRATES",1.02,IF(S444="NATIONALS",1,1))))))))))))))))))))))))))))))*IF(W444="",1,(1+((W444-70)/10*0.035)))*IF(U444="DOME",1,IF(U444="IN",1-(V444*0.01),IF(U444="OUT",1+(V444*0.01),IF(OR(U444="L-R",U444="R-L"),1+(V444*0.005),1))))</f>
        <v/>
      </c>
      <c r="U444" t="inlineStr">
        <is>
          <t>CROSS</t>
        </is>
      </c>
      <c r="V444" t="n">
        <v>6</v>
      </c>
      <c r="W444" t="n">
        <v>83</v>
      </c>
      <c r="Y444">
        <f>B444 &amp; " vs. " &amp; H444</f>
        <v/>
      </c>
      <c r="Z444">
        <f>TRIM(LEFT(Y444, FIND("vs.", Y444)-1))</f>
        <v/>
      </c>
      <c r="AA444">
        <f>TRIM(MID(Y444, FIND(" vs. ", Y444)+4, 100))</f>
        <v/>
      </c>
      <c r="AB444" s="35">
        <f>IF(Q444 &gt; VALUE(AC444), "O " &amp; AC444, IF(Q444 &lt; VALUE(AC444), "U " &amp; AC444, AC444))</f>
        <v/>
      </c>
      <c r="AC444" s="15">
        <f>IF(OR(O444="-", P444="-"), "-", MROUND(O444 + P444, 0.5))</f>
        <v/>
      </c>
      <c r="AD444" s="15">
        <f>VALUE(TRIM(RIGHT(AF444, LEN(AF444) - FIND(" ", AF444))))</f>
        <v/>
      </c>
      <c r="AE444" s="15">
        <f>LEFT(AF444,FIND(" ",AF444)-1)</f>
        <v/>
      </c>
      <c r="AF444" s="15">
        <f>IF(OR(O444="-", P444="-"), "-",
IF(MROUND(ABS(O444-P444),0.5)&lt;=0.5,
IF(O444&gt;P444, B444 &amp; " ML", H444 &amp; " ML"),
IF(MROUND(ABS(O444-P444),0.5)=1,
IF(O444&gt;P444, H444 &amp; " +1.5", B444 &amp; " +1.5"),
IF(O444&gt;P444, B444 &amp; " -1.5", H444 &amp; " -1.5")
)
)
)</f>
        <v/>
      </c>
      <c r="AG444" s="15">
        <f>_xlfn.LET(
_xlpm.winA, O444^1.83 / (O444^1.83 + P444^1.83),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45">
      <c r="A445" s="81" t="n">
        <v>46129</v>
      </c>
      <c r="B445" t="inlineStr">
        <is>
          <t>WHITE SOX</t>
        </is>
      </c>
      <c r="C445">
        <f>VLOOKUP(B445, 'MLB Data'!$B$5:$D$34, 3, FALSE)</f>
        <v/>
      </c>
      <c r="D445" t="inlineStr">
        <is>
          <t>DAVIS MARTIN</t>
        </is>
      </c>
      <c r="E445" t="n">
        <v>4.56</v>
      </c>
      <c r="F445" s="17">
        <f>VLOOKUP(B445, 'MLB Data'!$F$2:$H$34, 3, FALSE)</f>
        <v/>
      </c>
      <c r="G445" s="17">
        <f>IF((E445*0.6+F445*0.4)&lt;2.5, 2.8, IF((E445*0.6+F445*0.4)&gt;5.5, 5.2, (E445*0.6+F445*0.4)))</f>
        <v/>
      </c>
      <c r="H445" t="inlineStr">
        <is>
          <t>ATHLETICS</t>
        </is>
      </c>
      <c r="I445">
        <f>VLOOKUP(H445, 'MLB Data'!$B$5:$D$34, 3, FALSE)</f>
        <v/>
      </c>
      <c r="J445" t="inlineStr">
        <is>
          <t>AARON CIVALE</t>
        </is>
      </c>
      <c r="K445" t="n">
        <v>4.88</v>
      </c>
      <c r="L445" s="17">
        <f>VLOOKUP(H445, 'MLB Data'!$F$2:$H$34, 3, FALSE)</f>
        <v/>
      </c>
      <c r="M445" s="17">
        <f>IF((K445*0.6+L445*0.4)&lt;2.5, 2.8, IF((K445*0.6+L445*0.4)&gt;5.5, 5.2, (K445*0.6+L445*0.4)))</f>
        <v/>
      </c>
      <c r="O445" s="18">
        <f>(C445/100) * 4.1 * (M445 / 4.2) * T445</f>
        <v/>
      </c>
      <c r="P445" s="18">
        <f>(I445/100) * 4.05 * (G445 / 4.2) * T445</f>
        <v/>
      </c>
      <c r="Q445" s="18">
        <f>(O445+P445)</f>
        <v/>
      </c>
      <c r="S445" s="15">
        <f>H445</f>
        <v/>
      </c>
      <c r="T445" s="19">
        <f>IF(S445="ROCKIES",1.13,IF(S445="ATHLETICS",1.03,IF(S445="ROYALS",1.03,IF(S445="TWINS",1,IF(S445="TIGERS",1,IF(S445="MARLINS",1.01,IF(S445="REDS",1.05,IF(S445="RED SOX",1.04,IF(S445="YANKEES",1.02,IF(S445="DODGERS",0.99,IF(S445="PADRES",0.96,IF(S445="CUBS",0.98,IF(S445="GIANTS",0.97,IF(S445="MARINERS",0.94,IF(S445="RANGERS",1,IF(S445="ASTROS",0.99,IF(S445="BRAVES",1,IF(S445="METS",0.96,IF(S445="PHILLIES",1.02,IF(S445="BLUE JAYS",1.01,IF(S445="ORIOLES",0.99,IF(S445="RAYS",1.01,IF(S445="GUARDIANS",0.99,IF(S445="WHITE SOX",0.98,IF(S445="ANGELS",1.01,IF(S445="D-BACKS",1.01,IF(S445="BREWERS",0.99,IF(S445="CARDINALS",0.96,IF(S445="PIRATES",1.02,IF(S445="NATIONALS",1,1))))))))))))))))))))))))))))))*IF(W445="",1,(1+((W445-70)/10*0.035)))*IF(U445="DOME",1,IF(U445="IN",1-(V445*0.01),IF(U445="OUT",1+(V445*0.01),IF(OR(U445="L-R",U445="R-L"),1+(V445*0.005),1))))</f>
        <v/>
      </c>
      <c r="U445" t="inlineStr">
        <is>
          <t>DOME</t>
        </is>
      </c>
      <c r="V445" t="n">
        <v>0</v>
      </c>
      <c r="Y445">
        <f>B445 &amp; " vs. " &amp; H445</f>
        <v/>
      </c>
      <c r="Z445">
        <f>TRIM(LEFT(Y445, FIND("vs.", Y445)-1))</f>
        <v/>
      </c>
      <c r="AA445">
        <f>TRIM(MID(Y445, FIND(" vs. ", Y445)+4, 100))</f>
        <v/>
      </c>
      <c r="AB445" s="35">
        <f>IF(Q445 &gt; VALUE(AC445), "O " &amp; AC445, IF(Q445 &lt; VALUE(AC445), "U " &amp; AC445, AC445))</f>
        <v/>
      </c>
      <c r="AC445" s="15">
        <f>IF(OR(O445="-", P445="-"), "-", MROUND(O445 + P445, 0.5))</f>
        <v/>
      </c>
      <c r="AD445" s="15">
        <f>VALUE(TRIM(RIGHT(AF445, LEN(AF445) - FIND(" ", AF445))))</f>
        <v/>
      </c>
      <c r="AE445" s="15">
        <f>LEFT(AF445,FIND(" ",AF445)-1)</f>
        <v/>
      </c>
      <c r="AF445" s="15">
        <f>IF(OR(O445="-", P445="-"), "-",
IF(MROUND(ABS(O445-P445),0.5)&lt;=0.5,
IF(O445&gt;P445, B445 &amp; " ML", H445 &amp; " ML"),
IF(MROUND(ABS(O445-P445),0.5)=1,
IF(O445&gt;P445, H445 &amp; " +1.5", B445 &amp; " +1.5"),
IF(O445&gt;P445, B445 &amp; " -1.5", H445 &amp; " -1.5")
)
)
)</f>
        <v/>
      </c>
      <c r="AG445" s="15">
        <f>_xlfn.LET(
_xlpm.winA, O445^1.83 / (O445^1.83 + P445^1.83),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46">
      <c r="A446" s="81" t="n">
        <v>46130</v>
      </c>
      <c r="B446" t="inlineStr">
        <is>
          <t>ROYALS</t>
        </is>
      </c>
      <c r="C446">
        <f>VLOOKUP(B446, 'MLB Data'!$B$5:$D$34, 3, FALSE)</f>
        <v/>
      </c>
      <c r="D446" t="inlineStr">
        <is>
          <t>NOAH CAMERON</t>
        </is>
      </c>
      <c r="E446" t="n">
        <v>4.09</v>
      </c>
      <c r="F446" s="17">
        <f>VLOOKUP(B446, 'MLB Data'!$F$2:$H$34, 3, FALSE)</f>
        <v/>
      </c>
      <c r="G446" s="17">
        <f>IF((E446*0.6+F446*0.4)&lt;2.5, 2.8, IF((E446*0.6+F446*0.4)&gt;5.5, 5.2, (E446*0.6+F446*0.4)))</f>
        <v/>
      </c>
      <c r="H446" t="inlineStr">
        <is>
          <t>YANKEES</t>
        </is>
      </c>
      <c r="I446">
        <f>VLOOKUP(H446, 'MLB Data'!$B$5:$D$34, 3, FALSE)</f>
        <v/>
      </c>
      <c r="J446" t="inlineStr">
        <is>
          <t>WILL WARREN</t>
        </is>
      </c>
      <c r="K446" t="n">
        <v>3.83</v>
      </c>
      <c r="L446" s="17">
        <f>VLOOKUP(H446, 'MLB Data'!$F$2:$H$34, 3, FALSE)</f>
        <v/>
      </c>
      <c r="M446" s="17">
        <f>IF((K446*0.6+L446*0.4)&lt;2.5, 2.8, IF((K446*0.6+L446*0.4)&gt;5.5, 5.2, (K446*0.6+L446*0.4)))</f>
        <v/>
      </c>
      <c r="O446" s="18">
        <f>(C446/100) * 4.1 * (M446 / 4.2) * T446</f>
        <v/>
      </c>
      <c r="P446" s="18">
        <f>(I446/100) * 4.05 * (G446 / 4.2) * T446</f>
        <v/>
      </c>
      <c r="Q446" s="18">
        <f>(O446+P446)</f>
        <v/>
      </c>
      <c r="S446" s="15">
        <f>H446</f>
        <v/>
      </c>
      <c r="T446" s="19">
        <f>IF(S446="ROCKIES",1.13,IF(S446="ATHLETICS",1.03,IF(S446="ROYALS",1.03,IF(S446="TWINS",1,IF(S446="TIGERS",1,IF(S446="MARLINS",1.01,IF(S446="REDS",1.05,IF(S446="RED SOX",1.04,IF(S446="YANKEES",1.02,IF(S446="DODGERS",0.99,IF(S446="PADRES",0.96,IF(S446="CUBS",0.98,IF(S446="GIANTS",0.97,IF(S446="MARINERS",0.94,IF(S446="RANGERS",1,IF(S446="ASTROS",0.99,IF(S446="BRAVES",1,IF(S446="METS",0.96,IF(S446="PHILLIES",1.02,IF(S446="BLUE JAYS",1.01,IF(S446="ORIOLES",0.99,IF(S446="RAYS",1.01,IF(S446="GUARDIANS",0.99,IF(S446="WHITE SOX",0.98,IF(S446="ANGELS",1.01,IF(S446="D-BACKS",1.01,IF(S446="BREWERS",0.99,IF(S446="CARDINALS",0.96,IF(S446="PIRATES",1.02,IF(S446="NATIONALS",1,1))))))))))))))))))))))))))))))*IF(W446="",1,(1+((W446-70)/10*0.035)))*IF(U446="DOME",1,IF(U446="IN",1-(V446*0.01),IF(U446="OUT",1+(V446*0.01),IF(OR(U446="L-R",U446="R-L"),1+(V446*0.005),1))))</f>
        <v/>
      </c>
      <c r="U446" t="inlineStr">
        <is>
          <t>CROSS</t>
        </is>
      </c>
      <c r="V446" t="n">
        <v>8</v>
      </c>
      <c r="W446" t="n">
        <v>64</v>
      </c>
      <c r="Y446">
        <f>B446 &amp; " vs. " &amp; H446</f>
        <v/>
      </c>
      <c r="Z446">
        <f>TRIM(LEFT(Y446, FIND("vs.", Y446)-1))</f>
        <v/>
      </c>
      <c r="AA446">
        <f>TRIM(MID(Y446, FIND(" vs. ", Y446)+4, 100))</f>
        <v/>
      </c>
      <c r="AB446" s="35">
        <f>IF(Q446 &gt; VALUE(AC446), "O " &amp; AC446, IF(Q446 &lt; VALUE(AC446), "U " &amp; AC446, AC446))</f>
        <v/>
      </c>
      <c r="AC446" s="15">
        <f>IF(OR(O446="-", P446="-"), "-", MROUND(O446 + P446, 0.5))</f>
        <v/>
      </c>
      <c r="AD446" s="15">
        <f>VALUE(TRIM(RIGHT(AF446, LEN(AF446) - FIND(" ", AF446))))</f>
        <v/>
      </c>
      <c r="AE446" s="15">
        <f>LEFT(AF446,FIND(" ",AF446)-1)</f>
        <v/>
      </c>
      <c r="AF446" s="15">
        <f>IF(OR(O446="-", P446="-"), "-",
IF(MROUND(ABS(O446-P446),0.5)&lt;=0.5,
IF(O446&gt;P446, B446 &amp; " ML", H446 &amp; " ML"),
IF(MROUND(ABS(O446-P446),0.5)=1,
IF(O446&gt;P446, H446 &amp; " +1.5", B446 &amp; " +1.5"),
IF(O446&gt;P446, B446 &amp; " -1.5", H446 &amp; " -1.5")
)
)
)</f>
        <v/>
      </c>
      <c r="AG446" s="15">
        <f>_xlfn.LET(
_xlpm.winA, O446^1.83 / (O446^1.83 + P446^1.83),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47">
      <c r="A447" s="81" t="n">
        <v>46130</v>
      </c>
      <c r="B447" t="inlineStr">
        <is>
          <t>REDS</t>
        </is>
      </c>
      <c r="C447">
        <f>VLOOKUP(B447, 'MLB Data'!$B$5:$D$34, 3, FALSE)</f>
        <v/>
      </c>
      <c r="D447" t="inlineStr">
        <is>
          <t>ANDREW ABBOTT</t>
        </is>
      </c>
      <c r="E447" t="n">
        <v>4.34</v>
      </c>
      <c r="F447" s="17">
        <f>VLOOKUP(B447, 'MLB Data'!$F$2:$H$34, 3, FALSE)</f>
        <v/>
      </c>
      <c r="G447" s="17">
        <f>IF((E447*0.6+F447*0.4)&lt;2.5, 2.8, IF((E447*0.6+F447*0.4)&gt;5.5, 5.2, (E447*0.6+F447*0.4)))</f>
        <v/>
      </c>
      <c r="H447" t="inlineStr">
        <is>
          <t>TWINS</t>
        </is>
      </c>
      <c r="I447">
        <f>VLOOKUP(H447, 'MLB Data'!$B$5:$D$34, 3, FALSE)</f>
        <v/>
      </c>
      <c r="J447" t="inlineStr">
        <is>
          <t>TAJ BRADLEY</t>
        </is>
      </c>
      <c r="K447" t="n">
        <v>4.24</v>
      </c>
      <c r="L447" s="17">
        <f>VLOOKUP(H447, 'MLB Data'!$F$2:$H$34, 3, FALSE)</f>
        <v/>
      </c>
      <c r="M447" s="17">
        <f>IF((K447*0.6+L447*0.4)&lt;2.5, 2.8, IF((K447*0.6+L447*0.4)&gt;5.5, 5.2, (K447*0.6+L447*0.4)))</f>
        <v/>
      </c>
      <c r="O447" s="18">
        <f>(C447/100) * 4.1 * (M447 / 4.2) * T447</f>
        <v/>
      </c>
      <c r="P447" s="18">
        <f>(I447/100) * 4.05 * (G447 / 4.2) * T447</f>
        <v/>
      </c>
      <c r="Q447" s="18">
        <f>(O447+P447)</f>
        <v/>
      </c>
      <c r="S447" s="15">
        <f>H447</f>
        <v/>
      </c>
      <c r="T447" s="19">
        <f>IF(S447="ROCKIES",1.13,IF(S447="ATHLETICS",1.03,IF(S447="ROYALS",1.03,IF(S447="TWINS",1,IF(S447="TIGERS",1,IF(S447="MARLINS",1.01,IF(S447="REDS",1.05,IF(S447="RED SOX",1.04,IF(S447="YANKEES",1.02,IF(S447="DODGERS",0.99,IF(S447="PADRES",0.96,IF(S447="CUBS",0.98,IF(S447="GIANTS",0.97,IF(S447="MARINERS",0.94,IF(S447="RANGERS",1,IF(S447="ASTROS",0.99,IF(S447="BRAVES",1,IF(S447="METS",0.96,IF(S447="PHILLIES",1.02,IF(S447="BLUE JAYS",1.01,IF(S447="ORIOLES",0.99,IF(S447="RAYS",1.01,IF(S447="GUARDIANS",0.99,IF(S447="WHITE SOX",0.98,IF(S447="ANGELS",1.01,IF(S447="D-BACKS",1.01,IF(S447="BREWERS",0.99,IF(S447="CARDINALS",0.96,IF(S447="PIRATES",1.02,IF(S447="NATIONALS",1,1))))))))))))))))))))))))))))))*IF(W447="",1,(1+((W447-70)/10*0.035)))*IF(U447="DOME",1,IF(U447="IN",1-(V447*0.01),IF(U447="OUT",1+(V447*0.01),IF(OR(U447="L-R",U447="R-L"),1+(V447*0.005),1))))</f>
        <v/>
      </c>
      <c r="U447" t="inlineStr">
        <is>
          <t>IN</t>
        </is>
      </c>
      <c r="V447" t="n">
        <v>16</v>
      </c>
      <c r="W447" t="n">
        <v>40</v>
      </c>
      <c r="Y447">
        <f>B447 &amp; " vs. " &amp; H447</f>
        <v/>
      </c>
      <c r="Z447">
        <f>TRIM(LEFT(Y447, FIND("vs.", Y447)-1))</f>
        <v/>
      </c>
      <c r="AA447">
        <f>TRIM(MID(Y447, FIND(" vs. ", Y447)+4, 100))</f>
        <v/>
      </c>
      <c r="AB447" s="35">
        <f>IF(Q447 &gt; VALUE(AC447), "O " &amp; AC447, IF(Q447 &lt; VALUE(AC447), "U " &amp; AC447, AC447))</f>
        <v/>
      </c>
      <c r="AC447" s="15">
        <f>IF(OR(O447="-", P447="-"), "-", MROUND(O447 + P447, 0.5))</f>
        <v/>
      </c>
      <c r="AD447" s="15">
        <f>VALUE(TRIM(RIGHT(AF447, LEN(AF447) - FIND(" ", AF447))))</f>
        <v/>
      </c>
      <c r="AE447" s="15">
        <f>LEFT(AF447,FIND(" ",AF447)-1)</f>
        <v/>
      </c>
      <c r="AF447" s="15">
        <f>IF(OR(O447="-", P447="-"), "-",
IF(MROUND(ABS(O447-P447),0.5)&lt;=0.5,
IF(O447&gt;P447, B447 &amp; " ML", H447 &amp; " ML"),
IF(MROUND(ABS(O447-P447),0.5)=1,
IF(O447&gt;P447, H447 &amp; " +1.5", B447 &amp; " +1.5"),
IF(O447&gt;P447, B447 &amp; " -1.5", H447 &amp; " -1.5")
)
)
)</f>
        <v/>
      </c>
      <c r="AG447" s="15">
        <f>_xlfn.LET(
_xlpm.winA, O447^1.83 / (O447^1.83 + P447^1.83),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48">
      <c r="A448" s="81" t="n">
        <v>46130</v>
      </c>
      <c r="B448" t="inlineStr">
        <is>
          <t>METS</t>
        </is>
      </c>
      <c r="C448">
        <f>VLOOKUP(B448, 'MLB Data'!$B$5:$D$34, 3, FALSE)</f>
        <v/>
      </c>
      <c r="D448" t="inlineStr">
        <is>
          <t>FREDDY PERALTA</t>
        </is>
      </c>
      <c r="E448" t="n">
        <v>3.76</v>
      </c>
      <c r="F448" s="17">
        <f>VLOOKUP(B448, 'MLB Data'!$F$2:$H$34, 3, FALSE)</f>
        <v/>
      </c>
      <c r="G448" s="17">
        <f>IF((E448*0.6+F448*0.4)&lt;2.5, 2.8, IF((E448*0.6+F448*0.4)&gt;5.5, 5.2, (E448*0.6+F448*0.4)))</f>
        <v/>
      </c>
      <c r="H448" t="inlineStr">
        <is>
          <t>CUBS</t>
        </is>
      </c>
      <c r="I448">
        <f>VLOOKUP(H448, 'MLB Data'!$B$5:$D$34, 3, FALSE)</f>
        <v/>
      </c>
      <c r="J448" t="inlineStr">
        <is>
          <t>JAMESON TAILLON</t>
        </is>
      </c>
      <c r="K448" t="n">
        <v>4.35</v>
      </c>
      <c r="L448" s="17">
        <f>VLOOKUP(H448, 'MLB Data'!$F$2:$H$34, 3, FALSE)</f>
        <v/>
      </c>
      <c r="M448" s="17">
        <f>IF((K448*0.6+L448*0.4)&lt;2.5, 2.8, IF((K448*0.6+L448*0.4)&gt;5.5, 5.2, (K448*0.6+L448*0.4)))</f>
        <v/>
      </c>
      <c r="O448" s="18">
        <f>(C448/100) * 4.1 * (M448 / 4.2) * T448</f>
        <v/>
      </c>
      <c r="P448" s="18">
        <f>(I448/100) * 4.05 * (G448 / 4.2) * T448</f>
        <v/>
      </c>
      <c r="Q448" s="18">
        <f>(O448+P448)</f>
        <v/>
      </c>
      <c r="S448" s="15">
        <f>H448</f>
        <v/>
      </c>
      <c r="T448" s="19">
        <f>IF(S448="ROCKIES",1.13,IF(S448="ATHLETICS",1.03,IF(S448="ROYALS",1.03,IF(S448="TWINS",1,IF(S448="TIGERS",1,IF(S448="MARLINS",1.01,IF(S448="REDS",1.05,IF(S448="RED SOX",1.04,IF(S448="YANKEES",1.02,IF(S448="DODGERS",0.99,IF(S448="PADRES",0.96,IF(S448="CUBS",0.98,IF(S448="GIANTS",0.97,IF(S448="MARINERS",0.94,IF(S448="RANGERS",1,IF(S448="ASTROS",0.99,IF(S448="BRAVES",1,IF(S448="METS",0.96,IF(S448="PHILLIES",1.02,IF(S448="BLUE JAYS",1.01,IF(S448="ORIOLES",0.99,IF(S448="RAYS",1.01,IF(S448="GUARDIANS",0.99,IF(S448="WHITE SOX",0.98,IF(S448="ANGELS",1.01,IF(S448="D-BACKS",1.01,IF(S448="BREWERS",0.99,IF(S448="CARDINALS",0.96,IF(S448="PIRATES",1.02,IF(S448="NATIONALS",1,1))))))))))))))))))))))))))))))*IF(W448="",1,(1+((W448-70)/10*0.035)))*IF(U448="DOME",1,IF(U448="IN",1-(V448*0.01),IF(U448="OUT",1+(V448*0.01),IF(OR(U448="L-R",U448="R-L"),1+(V448*0.005),1))))</f>
        <v/>
      </c>
      <c r="U448" t="inlineStr">
        <is>
          <t>OUT</t>
        </is>
      </c>
      <c r="V448" t="n">
        <v>15</v>
      </c>
      <c r="W448" t="n">
        <v>45</v>
      </c>
      <c r="Y448">
        <f>B448 &amp; " vs. " &amp; H448</f>
        <v/>
      </c>
      <c r="Z448">
        <f>TRIM(LEFT(Y448, FIND("vs.", Y448)-1))</f>
        <v/>
      </c>
      <c r="AA448">
        <f>TRIM(MID(Y448, FIND(" vs. ", Y448)+4, 100))</f>
        <v/>
      </c>
      <c r="AB448" s="35">
        <f>IF(Q448 &gt; VALUE(AC448), "O " &amp; AC448, IF(Q448 &lt; VALUE(AC448), "U " &amp; AC448, AC448))</f>
        <v/>
      </c>
      <c r="AC448" s="15">
        <f>IF(OR(O448="-", P448="-"), "-", MROUND(O448 + P448, 0.5))</f>
        <v/>
      </c>
      <c r="AD448" s="15">
        <f>VALUE(TRIM(RIGHT(AF448, LEN(AF448) - FIND(" ", AF448))))</f>
        <v/>
      </c>
      <c r="AE448" s="15">
        <f>LEFT(AF448,FIND(" ",AF448)-1)</f>
        <v/>
      </c>
      <c r="AF448" s="15">
        <f>IF(OR(O448="-", P448="-"), "-",
IF(MROUND(ABS(O448-P448),0.5)&lt;=0.5,
IF(O448&gt;P448, B448 &amp; " ML", H448 &amp; " ML"),
IF(MROUND(ABS(O448-P448),0.5)=1,
IF(O448&gt;P448, H448 &amp; " +1.5", B448 &amp; " +1.5"),
IF(O448&gt;P448, B448 &amp; " -1.5", H448 &amp; " -1.5")
)
)
)</f>
        <v/>
      </c>
      <c r="AG448" s="15">
        <f>_xlfn.LET(
_xlpm.winA, O448^1.83 / (O448^1.83 + P448^1.83),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49">
      <c r="A449" s="81" t="n">
        <v>46130</v>
      </c>
      <c r="B449" t="inlineStr">
        <is>
          <t>GIANTS</t>
        </is>
      </c>
      <c r="C449">
        <f>VLOOKUP(B449, 'MLB Data'!$B$5:$D$34, 3, FALSE)</f>
        <v/>
      </c>
      <c r="D449" t="inlineStr">
        <is>
          <t>ADRIAN HOUSER</t>
        </is>
      </c>
      <c r="E449" t="n">
        <v>4.26</v>
      </c>
      <c r="F449" s="17">
        <f>VLOOKUP(B449, 'MLB Data'!$F$2:$H$34, 3, FALSE)</f>
        <v/>
      </c>
      <c r="G449" s="17">
        <f>IF((E449*0.6+F449*0.4)&lt;2.5, 2.8, IF((E449*0.6+F449*0.4)&gt;5.5, 5.2, (E449*0.6+F449*0.4)))</f>
        <v/>
      </c>
      <c r="H449" t="inlineStr">
        <is>
          <t>NATIONALS</t>
        </is>
      </c>
      <c r="I449">
        <f>VLOOKUP(H449, 'MLB Data'!$B$5:$D$34, 3, FALSE)</f>
        <v/>
      </c>
      <c r="J449" t="inlineStr">
        <is>
          <t>CADE CAVALLI</t>
        </is>
      </c>
      <c r="K449" t="n">
        <v>4.14</v>
      </c>
      <c r="L449" s="17">
        <f>VLOOKUP(H449, 'MLB Data'!$F$2:$H$34, 3, FALSE)</f>
        <v/>
      </c>
      <c r="M449" s="17">
        <f>IF((K449*0.6+L449*0.4)&lt;2.5, 2.8, IF((K449*0.6+L449*0.4)&gt;5.5, 5.2, (K449*0.6+L449*0.4)))</f>
        <v/>
      </c>
      <c r="O449" s="18">
        <f>(C449/100) * 4.1 * (M449 / 4.2) * T449</f>
        <v/>
      </c>
      <c r="P449" s="18">
        <f>(I449/100) * 4.05 * (G449 / 4.2) * T449</f>
        <v/>
      </c>
      <c r="Q449" s="18">
        <f>(O449+P449)</f>
        <v/>
      </c>
      <c r="S449" s="15">
        <f>H449</f>
        <v/>
      </c>
      <c r="T449" s="19">
        <f>IF(S449="ROCKIES",1.13,IF(S449="ATHLETICS",1.03,IF(S449="ROYALS",1.03,IF(S449="TWINS",1,IF(S449="TIGERS",1,IF(S449="MARLINS",1.01,IF(S449="REDS",1.05,IF(S449="RED SOX",1.04,IF(S449="YANKEES",1.02,IF(S449="DODGERS",0.99,IF(S449="PADRES",0.96,IF(S449="CUBS",0.98,IF(S449="GIANTS",0.97,IF(S449="MARINERS",0.94,IF(S449="RANGERS",1,IF(S449="ASTROS",0.99,IF(S449="BRAVES",1,IF(S449="METS",0.96,IF(S449="PHILLIES",1.02,IF(S449="BLUE JAYS",1.01,IF(S449="ORIOLES",0.99,IF(S449="RAYS",1.01,IF(S449="GUARDIANS",0.99,IF(S449="WHITE SOX",0.98,IF(S449="ANGELS",1.01,IF(S449="D-BACKS",1.01,IF(S449="BREWERS",0.99,IF(S449="CARDINALS",0.96,IF(S449="PIRATES",1.02,IF(S449="NATIONALS",1,1))))))))))))))))))))))))))))))*IF(W449="",1,(1+((W449-70)/10*0.035)))*IF(U449="DOME",1,IF(U449="IN",1-(V449*0.01),IF(U449="OUT",1+(V449*0.01),IF(OR(U449="L-R",U449="R-L"),1+(V449*0.005),1))))</f>
        <v/>
      </c>
      <c r="U449" t="inlineStr">
        <is>
          <t>OUT</t>
        </is>
      </c>
      <c r="V449" t="n">
        <v>13</v>
      </c>
      <c r="W449" t="n">
        <v>82</v>
      </c>
      <c r="Y449">
        <f>B449 &amp; " vs. " &amp; H449</f>
        <v/>
      </c>
      <c r="Z449">
        <f>TRIM(LEFT(Y449, FIND("vs.", Y449)-1))</f>
        <v/>
      </c>
      <c r="AA449">
        <f>TRIM(MID(Y449, FIND(" vs. ", Y449)+4, 100))</f>
        <v/>
      </c>
      <c r="AB449" s="35">
        <f>IF(Q449 &gt; VALUE(AC449), "O " &amp; AC449, IF(Q449 &lt; VALUE(AC449), "U " &amp; AC449, AC449))</f>
        <v/>
      </c>
      <c r="AC449" s="15">
        <f>IF(OR(O449="-", P449="-"), "-", MROUND(O449 + P449, 0.5))</f>
        <v/>
      </c>
      <c r="AD449" s="15">
        <f>VALUE(TRIM(RIGHT(AF449, LEN(AF449) - FIND(" ", AF449))))</f>
        <v/>
      </c>
      <c r="AE449" s="15">
        <f>LEFT(AF449,FIND(" ",AF449)-1)</f>
        <v/>
      </c>
      <c r="AF449" s="15">
        <f>IF(OR(O449="-", P449="-"), "-",
IF(MROUND(ABS(O449-P449),0.5)&lt;=0.5,
IF(O449&gt;P449, B449 &amp; " ML", H449 &amp; " ML"),
IF(MROUND(ABS(O449-P449),0.5)=1,
IF(O449&gt;P449, H449 &amp; " +1.5", B449 &amp; " +1.5"),
IF(O449&gt;P449, B449 &amp; " -1.5", H449 &amp; " -1.5")
)
)
)</f>
        <v/>
      </c>
      <c r="AG449" s="15">
        <f>_xlfn.LET(
_xlpm.winA, O449^1.83 / (O449^1.83 + P449^1.83),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50">
      <c r="A450" s="81" t="n">
        <v>46130</v>
      </c>
      <c r="B450" t="inlineStr">
        <is>
          <t>RAYS</t>
        </is>
      </c>
      <c r="C450">
        <f>VLOOKUP(B450, 'MLB Data'!$B$5:$D$34, 3, FALSE)</f>
        <v/>
      </c>
      <c r="D450" t="inlineStr">
        <is>
          <t>DREW RASMUSSEN</t>
        </is>
      </c>
      <c r="E450" t="n">
        <v>3.58</v>
      </c>
      <c r="F450" s="17">
        <f>VLOOKUP(B450, 'MLB Data'!$F$2:$H$34, 3, FALSE)</f>
        <v/>
      </c>
      <c r="G450" s="17">
        <f>IF((E450*0.6+F450*0.4)&lt;2.5, 2.8, IF((E450*0.6+F450*0.4)&gt;5.5, 5.2, (E450*0.6+F450*0.4)))</f>
        <v/>
      </c>
      <c r="H450" t="inlineStr">
        <is>
          <t>PIRATES</t>
        </is>
      </c>
      <c r="I450">
        <f>VLOOKUP(H450, 'MLB Data'!$B$5:$D$34, 3, FALSE)</f>
        <v/>
      </c>
      <c r="J450" t="inlineStr">
        <is>
          <t>PAUL SKENES</t>
        </is>
      </c>
      <c r="K450" t="n">
        <v>3.17</v>
      </c>
      <c r="L450" s="17">
        <f>VLOOKUP(H450, 'MLB Data'!$F$2:$H$34, 3, FALSE)</f>
        <v/>
      </c>
      <c r="M450" s="17">
        <f>IF((K450*0.6+L450*0.4)&lt;2.5, 2.8, IF((K450*0.6+L450*0.4)&gt;5.5, 5.2, (K450*0.6+L450*0.4)))</f>
        <v/>
      </c>
      <c r="O450" s="18">
        <f>(C450/100) * 4.1 * (M450 / 4.2) * T450</f>
        <v/>
      </c>
      <c r="P450" s="18">
        <f>(I450/100) * 4.05 * (G450 / 4.2) * T450</f>
        <v/>
      </c>
      <c r="Q450" s="18">
        <f>(O450+P450)</f>
        <v/>
      </c>
      <c r="S450" s="15">
        <f>H450</f>
        <v/>
      </c>
      <c r="T450" s="19">
        <f>IF(S450="ROCKIES",1.13,IF(S450="ATHLETICS",1.03,IF(S450="ROYALS",1.03,IF(S450="TWINS",1,IF(S450="TIGERS",1,IF(S450="MARLINS",1.01,IF(S450="REDS",1.05,IF(S450="RED SOX",1.04,IF(S450="YANKEES",1.02,IF(S450="DODGERS",0.99,IF(S450="PADRES",0.96,IF(S450="CUBS",0.98,IF(S450="GIANTS",0.97,IF(S450="MARINERS",0.94,IF(S450="RANGERS",1,IF(S450="ASTROS",0.99,IF(S450="BRAVES",1,IF(S450="METS",0.96,IF(S450="PHILLIES",1.02,IF(S450="BLUE JAYS",1.01,IF(S450="ORIOLES",0.99,IF(S450="RAYS",1.01,IF(S450="GUARDIANS",0.99,IF(S450="WHITE SOX",0.98,IF(S450="ANGELS",1.01,IF(S450="D-BACKS",1.01,IF(S450="BREWERS",0.99,IF(S450="CARDINALS",0.96,IF(S450="PIRATES",1.02,IF(S450="NATIONALS",1,1))))))))))))))))))))))))))))))*IF(W450="",1,(1+((W450-70)/10*0.035)))*IF(U450="DOME",1,IF(U450="IN",1-(V450*0.01),IF(U450="OUT",1+(V450*0.01),IF(OR(U450="L-R",U450="R-L"),1+(V450*0.005),1))))</f>
        <v/>
      </c>
      <c r="U450" t="inlineStr">
        <is>
          <t>OUT</t>
        </is>
      </c>
      <c r="V450" t="n">
        <v>17</v>
      </c>
      <c r="W450" t="n">
        <v>86</v>
      </c>
      <c r="Y450">
        <f>B450 &amp; " vs. " &amp; H450</f>
        <v/>
      </c>
      <c r="Z450">
        <f>TRIM(LEFT(Y450, FIND("vs.", Y450)-1))</f>
        <v/>
      </c>
      <c r="AA450">
        <f>TRIM(MID(Y450, FIND(" vs. ", Y450)+4, 100))</f>
        <v/>
      </c>
      <c r="AB450" s="35">
        <f>IF(Q450 &gt; VALUE(AC450), "O " &amp; AC450, IF(Q450 &lt; VALUE(AC450), "U " &amp; AC450, AC450))</f>
        <v/>
      </c>
      <c r="AC450" s="15">
        <f>IF(OR(O450="-", P450="-"), "-", MROUND(O450 + P450, 0.5))</f>
        <v/>
      </c>
      <c r="AD450" s="15">
        <f>VALUE(TRIM(RIGHT(AF450, LEN(AF450) - FIND(" ", AF450))))</f>
        <v/>
      </c>
      <c r="AE450" s="15">
        <f>LEFT(AF450,FIND(" ",AF450)-1)</f>
        <v/>
      </c>
      <c r="AF450" s="15">
        <f>IF(OR(O450="-", P450="-"), "-",
IF(MROUND(ABS(O450-P450),0.5)&lt;=0.5,
IF(O450&gt;P450, B450 &amp; " ML", H450 &amp; " ML"),
IF(MROUND(ABS(O450-P450),0.5)=1,
IF(O450&gt;P450, H450 &amp; " +1.5", B450 &amp; " +1.5"),
IF(O450&gt;P450, B450 &amp; " -1.5", H450 &amp; " -1.5")
)
)
)</f>
        <v/>
      </c>
      <c r="AG450" s="15">
        <f>_xlfn.LET(
_xlpm.winA, O450^1.83 / (O450^1.83 + P450^1.83),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51">
      <c r="A451" s="81" t="n">
        <v>46130</v>
      </c>
      <c r="B451" t="inlineStr">
        <is>
          <t>WHITE SOX</t>
        </is>
      </c>
      <c r="C451">
        <f>VLOOKUP(B451, 'MLB Data'!$B$5:$D$34, 3, FALSE)</f>
        <v/>
      </c>
      <c r="D451" t="inlineStr">
        <is>
          <t>ERICK FEDDE</t>
        </is>
      </c>
      <c r="E451" t="n">
        <v>5.27</v>
      </c>
      <c r="F451" s="17">
        <f>VLOOKUP(B451, 'MLB Data'!$F$2:$H$34, 3, FALSE)</f>
        <v/>
      </c>
      <c r="G451" s="17">
        <f>IF((E451*0.6+F451*0.4)&lt;2.5, 2.8, IF((E451*0.6+F451*0.4)&gt;5.5, 5.2, (E451*0.6+F451*0.4)))</f>
        <v/>
      </c>
      <c r="H451" t="inlineStr">
        <is>
          <t>ATHLETICS</t>
        </is>
      </c>
      <c r="I451">
        <f>VLOOKUP(H451, 'MLB Data'!$B$5:$D$34, 3, FALSE)</f>
        <v/>
      </c>
      <c r="J451" t="inlineStr">
        <is>
          <t>LUIS SEVERINO</t>
        </is>
      </c>
      <c r="K451" t="n">
        <v>4.58</v>
      </c>
      <c r="L451" s="17">
        <f>VLOOKUP(H451, 'MLB Data'!$F$2:$H$34, 3, FALSE)</f>
        <v/>
      </c>
      <c r="M451" s="17">
        <f>IF((K451*0.6+L451*0.4)&lt;2.5, 2.8, IF((K451*0.6+L451*0.4)&gt;5.5, 5.2, (K451*0.6+L451*0.4)))</f>
        <v/>
      </c>
      <c r="O451" s="18">
        <f>(C451/100) * 4.1 * (M451 / 4.2) * T451</f>
        <v/>
      </c>
      <c r="P451" s="18">
        <f>(I451/100) * 4.05 * (G451 / 4.2) * T451</f>
        <v/>
      </c>
      <c r="Q451" s="18">
        <f>(O451+P451)</f>
        <v/>
      </c>
      <c r="S451" s="15">
        <f>H451</f>
        <v/>
      </c>
      <c r="T451" s="19">
        <f>IF(S451="ROCKIES",1.13,IF(S451="ATHLETICS",1.03,IF(S451="ROYALS",1.03,IF(S451="TWINS",1,IF(S451="TIGERS",1,IF(S451="MARLINS",1.01,IF(S451="REDS",1.05,IF(S451="RED SOX",1.04,IF(S451="YANKEES",1.02,IF(S451="DODGERS",0.99,IF(S451="PADRES",0.96,IF(S451="CUBS",0.98,IF(S451="GIANTS",0.97,IF(S451="MARINERS",0.94,IF(S451="RANGERS",1,IF(S451="ASTROS",0.99,IF(S451="BRAVES",1,IF(S451="METS",0.96,IF(S451="PHILLIES",1.02,IF(S451="BLUE JAYS",1.01,IF(S451="ORIOLES",0.99,IF(S451="RAYS",1.01,IF(S451="GUARDIANS",0.99,IF(S451="WHITE SOX",0.98,IF(S451="ANGELS",1.01,IF(S451="D-BACKS",1.01,IF(S451="BREWERS",0.99,IF(S451="CARDINALS",0.96,IF(S451="PIRATES",1.02,IF(S451="NATIONALS",1,1))))))))))))))))))))))))))))))*IF(W451="",1,(1+((W451-70)/10*0.035)))*IF(U451="DOME",1,IF(U451="IN",1-(V451*0.01),IF(U451="OUT",1+(V451*0.01),IF(OR(U451="L-R",U451="R-L"),1+(V451*0.005),1))))</f>
        <v/>
      </c>
      <c r="U451" t="inlineStr">
        <is>
          <t>CROSS</t>
        </is>
      </c>
      <c r="V451" t="n">
        <v>3</v>
      </c>
      <c r="W451" t="n">
        <v>73</v>
      </c>
      <c r="Y451">
        <f>B451 &amp; " vs. " &amp; H451</f>
        <v/>
      </c>
      <c r="Z451">
        <f>TRIM(LEFT(Y451, FIND("vs.", Y451)-1))</f>
        <v/>
      </c>
      <c r="AA451">
        <f>TRIM(MID(Y451, FIND(" vs. ", Y451)+4, 100))</f>
        <v/>
      </c>
      <c r="AB451" s="35">
        <f>IF(Q451 &gt; VALUE(AC451), "O " &amp; AC451, IF(Q451 &lt; VALUE(AC451), "U " &amp; AC451, AC451))</f>
        <v/>
      </c>
      <c r="AC451" s="15">
        <f>IF(OR(O451="-", P451="-"), "-", MROUND(O451 + P451, 0.5))</f>
        <v/>
      </c>
      <c r="AD451" s="15">
        <f>VALUE(TRIM(RIGHT(AF451, LEN(AF451) - FIND(" ", AF451))))</f>
        <v/>
      </c>
      <c r="AE451" s="15">
        <f>LEFT(AF451,FIND(" ",AF451)-1)</f>
        <v/>
      </c>
      <c r="AF451" s="15">
        <f>IF(OR(O451="-", P451="-"), "-",
IF(MROUND(ABS(O451-P451),0.5)&lt;=0.5,
IF(O451&gt;P451, B451 &amp; " ML", H451 &amp; " ML"),
IF(MROUND(ABS(O451-P451),0.5)=1,
IF(O451&gt;P451, H451 &amp; " +1.5", B451 &amp; " +1.5"),
IF(O451&gt;P451, B451 &amp; " -1.5", H451 &amp; " -1.5")
)
)
)</f>
        <v/>
      </c>
      <c r="AG451" s="15">
        <f>_xlfn.LET(
_xlpm.winA, O451^1.83 / (O451^1.83 + P451^1.83),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52">
      <c r="A452" s="81" t="n">
        <v>46130</v>
      </c>
      <c r="B452" t="inlineStr">
        <is>
          <t>TIGERS</t>
        </is>
      </c>
      <c r="C452">
        <f>VLOOKUP(B452, 'MLB Data'!$B$5:$D$34, 3, FALSE)</f>
        <v/>
      </c>
      <c r="D452" t="inlineStr">
        <is>
          <t>TARIK SKUBAL</t>
        </is>
      </c>
      <c r="E452" t="n">
        <v>2.71</v>
      </c>
      <c r="F452" s="17">
        <f>VLOOKUP(B452, 'MLB Data'!$F$2:$H$34, 3, FALSE)</f>
        <v/>
      </c>
      <c r="G452" s="17">
        <f>IF((E452*0.6+F452*0.4)&lt;2.5, 2.8, IF((E452*0.6+F452*0.4)&gt;5.5, 5.2, (E452*0.6+F452*0.4)))</f>
        <v/>
      </c>
      <c r="H452" t="inlineStr">
        <is>
          <t>RED SOX</t>
        </is>
      </c>
      <c r="I452">
        <f>VLOOKUP(H452, 'MLB Data'!$B$5:$D$34, 3, FALSE)</f>
        <v/>
      </c>
      <c r="J452" t="inlineStr">
        <is>
          <t>BRAYAN BELLO</t>
        </is>
      </c>
      <c r="K452" t="n">
        <v>4.44</v>
      </c>
      <c r="L452" s="17">
        <f>VLOOKUP(H452, 'MLB Data'!$F$2:$H$34, 3, FALSE)</f>
        <v/>
      </c>
      <c r="M452" s="17">
        <f>IF((K452*0.6+L452*0.4)&lt;2.5, 2.8, IF((K452*0.6+L452*0.4)&gt;5.5, 5.2, (K452*0.6+L452*0.4)))</f>
        <v/>
      </c>
      <c r="O452" s="18">
        <f>(C452/100) * 4.1 * (M452 / 4.2) * T452</f>
        <v/>
      </c>
      <c r="P452" s="18">
        <f>(I452/100) * 4.05 * (G452 / 4.2) * T452</f>
        <v/>
      </c>
      <c r="Q452" s="18">
        <f>(O452+P452)</f>
        <v/>
      </c>
      <c r="S452" s="15">
        <f>H452</f>
        <v/>
      </c>
      <c r="T452" s="19">
        <f>IF(S452="ROCKIES",1.13,IF(S452="ATHLETICS",1.03,IF(S452="ROYALS",1.03,IF(S452="TWINS",1,IF(S452="TIGERS",1,IF(S452="MARLINS",1.01,IF(S452="REDS",1.05,IF(S452="RED SOX",1.04,IF(S452="YANKEES",1.02,IF(S452="DODGERS",0.99,IF(S452="PADRES",0.96,IF(S452="CUBS",0.98,IF(S452="GIANTS",0.97,IF(S452="MARINERS",0.94,IF(S452="RANGERS",1,IF(S452="ASTROS",0.99,IF(S452="BRAVES",1,IF(S452="METS",0.96,IF(S452="PHILLIES",1.02,IF(S452="BLUE JAYS",1.01,IF(S452="ORIOLES",0.99,IF(S452="RAYS",1.01,IF(S452="GUARDIANS",0.99,IF(S452="WHITE SOX",0.98,IF(S452="ANGELS",1.01,IF(S452="D-BACKS",1.01,IF(S452="BREWERS",0.99,IF(S452="CARDINALS",0.96,IF(S452="PIRATES",1.02,IF(S452="NATIONALS",1,1))))))))))))))))))))))))))))))*IF(W452="",1,(1+((W452-70)/10*0.035)))*IF(U452="DOME",1,IF(U452="IN",1-(V452*0.01),IF(U452="OUT",1+(V452*0.01),IF(OR(U452="L-R",U452="R-L"),1+(V452*0.005),1))))</f>
        <v/>
      </c>
      <c r="U452" t="inlineStr">
        <is>
          <t>IN</t>
        </is>
      </c>
      <c r="V452" t="n">
        <v>8</v>
      </c>
      <c r="W452" t="n">
        <v>46</v>
      </c>
      <c r="Y452">
        <f>B452 &amp; " vs. " &amp; H452</f>
        <v/>
      </c>
      <c r="Z452">
        <f>TRIM(LEFT(Y452, FIND("vs.", Y452)-1))</f>
        <v/>
      </c>
      <c r="AA452">
        <f>TRIM(MID(Y452, FIND(" vs. ", Y452)+4, 100))</f>
        <v/>
      </c>
      <c r="AB452" s="35">
        <f>IF(Q452 &gt; VALUE(AC452), "O " &amp; AC452, IF(Q452 &lt; VALUE(AC452), "U " &amp; AC452, AC452))</f>
        <v/>
      </c>
      <c r="AC452" s="15">
        <f>IF(OR(O452="-", P452="-"), "-", MROUND(O452 + P452, 0.5))</f>
        <v/>
      </c>
      <c r="AD452" s="15">
        <f>VALUE(TRIM(RIGHT(AF452, LEN(AF452) - FIND(" ", AF452))))</f>
        <v/>
      </c>
      <c r="AE452" s="15">
        <f>LEFT(AF452,FIND(" ",AF452)-1)</f>
        <v/>
      </c>
      <c r="AF452" s="15">
        <f>IF(OR(O452="-", P452="-"), "-",
IF(MROUND(ABS(O452-P452),0.5)&lt;=0.5,
IF(O452&gt;P452, B452 &amp; " ML", H452 &amp; " ML"),
IF(MROUND(ABS(O452-P452),0.5)=1,
IF(O452&gt;P452, H452 &amp; " +1.5", B452 &amp; " +1.5"),
IF(O452&gt;P452, B452 &amp; " -1.5", H452 &amp; " -1.5")
)
)
)</f>
        <v/>
      </c>
      <c r="AG452" s="15">
        <f>_xlfn.LET(
_xlpm.winA, O452^1.83 / (O452^1.83 + P452^1.83),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53">
      <c r="A453" s="81" t="n">
        <v>46130</v>
      </c>
      <c r="B453" t="inlineStr">
        <is>
          <t>BREWERS</t>
        </is>
      </c>
      <c r="C453">
        <f>VLOOKUP(B453, 'MLB Data'!$B$5:$D$34, 3, FALSE)</f>
        <v/>
      </c>
      <c r="D453" t="inlineStr">
        <is>
          <t>BRANDON WOODRUFF</t>
        </is>
      </c>
      <c r="E453" t="n">
        <v>3.34</v>
      </c>
      <c r="F453" s="17">
        <f>VLOOKUP(B453, 'MLB Data'!$F$2:$H$34, 3, FALSE)</f>
        <v/>
      </c>
      <c r="G453" s="17">
        <f>IF((E453*0.6+F453*0.4)&lt;2.5, 2.8, IF((E453*0.6+F453*0.4)&gt;5.5, 5.2, (E453*0.6+F453*0.4)))</f>
        <v/>
      </c>
      <c r="H453" t="inlineStr">
        <is>
          <t>MARLINS</t>
        </is>
      </c>
      <c r="I453">
        <f>VLOOKUP(H453, 'MLB Data'!$B$5:$D$34, 3, FALSE)</f>
        <v/>
      </c>
      <c r="J453" t="inlineStr">
        <is>
          <t>SANDY ALCANTARA</t>
        </is>
      </c>
      <c r="K453" t="n">
        <v>4.17</v>
      </c>
      <c r="L453" s="17">
        <f>VLOOKUP(H453, 'MLB Data'!$F$2:$H$34, 3, FALSE)</f>
        <v/>
      </c>
      <c r="M453" s="17">
        <f>IF((K453*0.6+L453*0.4)&lt;2.5, 2.8, IF((K453*0.6+L453*0.4)&gt;5.5, 5.2, (K453*0.6+L453*0.4)))</f>
        <v/>
      </c>
      <c r="O453" s="18">
        <f>(C453/100) * 4.1 * (M453 / 4.2) * T453</f>
        <v/>
      </c>
      <c r="P453" s="18">
        <f>(I453/100) * 4.05 * (G453 / 4.2) * T453</f>
        <v/>
      </c>
      <c r="Q453" s="18">
        <f>(O453+P453)</f>
        <v/>
      </c>
      <c r="S453" s="15">
        <f>H453</f>
        <v/>
      </c>
      <c r="T453" s="19">
        <f>IF(S453="ROCKIES",1.13,IF(S453="ATHLETICS",1.03,IF(S453="ROYALS",1.03,IF(S453="TWINS",1,IF(S453="TIGERS",1,IF(S453="MARLINS",1.01,IF(S453="REDS",1.05,IF(S453="RED SOX",1.04,IF(S453="YANKEES",1.02,IF(S453="DODGERS",0.99,IF(S453="PADRES",0.96,IF(S453="CUBS",0.98,IF(S453="GIANTS",0.97,IF(S453="MARINERS",0.94,IF(S453="RANGERS",1,IF(S453="ASTROS",0.99,IF(S453="BRAVES",1,IF(S453="METS",0.96,IF(S453="PHILLIES",1.02,IF(S453="BLUE JAYS",1.01,IF(S453="ORIOLES",0.99,IF(S453="RAYS",1.01,IF(S453="GUARDIANS",0.99,IF(S453="WHITE SOX",0.98,IF(S453="ANGELS",1.01,IF(S453="D-BACKS",1.01,IF(S453="BREWERS",0.99,IF(S453="CARDINALS",0.96,IF(S453="PIRATES",1.02,IF(S453="NATIONALS",1,1))))))))))))))))))))))))))))))*IF(W453="",1,(1+((W453-70)/10*0.035)))*IF(U453="DOME",1,IF(U453="IN",1-(V453*0.01),IF(U453="OUT",1+(V453*0.01),IF(OR(U453="L-R",U453="R-L"),1+(V453*0.005),1))))</f>
        <v/>
      </c>
      <c r="U453" t="inlineStr">
        <is>
          <t>DOME</t>
        </is>
      </c>
      <c r="V453" t="n">
        <v>0</v>
      </c>
      <c r="Y453">
        <f>B453 &amp; " vs. " &amp; H453</f>
        <v/>
      </c>
      <c r="Z453">
        <f>TRIM(LEFT(Y453, FIND("vs.", Y453)-1))</f>
        <v/>
      </c>
      <c r="AA453">
        <f>TRIM(MID(Y453, FIND(" vs. ", Y453)+4, 100))</f>
        <v/>
      </c>
      <c r="AB453" s="35">
        <f>IF(Q453 &gt; VALUE(AC453), "O " &amp; AC453, IF(Q453 &lt; VALUE(AC453), "U " &amp; AC453, AC453))</f>
        <v/>
      </c>
      <c r="AC453" s="15">
        <f>IF(OR(O453="-", P453="-"), "-", MROUND(O453 + P453, 0.5))</f>
        <v/>
      </c>
      <c r="AD453" s="15">
        <f>VALUE(TRIM(RIGHT(AF453, LEN(AF453) - FIND(" ", AF453))))</f>
        <v/>
      </c>
      <c r="AE453" s="15">
        <f>LEFT(AF453,FIND(" ",AF453)-1)</f>
        <v/>
      </c>
      <c r="AF453" s="15">
        <f>IF(OR(O453="-", P453="-"), "-",
IF(MROUND(ABS(O453-P453),0.5)&lt;=0.5,
IF(O453&gt;P453, B453 &amp; " ML", H453 &amp; " ML"),
IF(MROUND(ABS(O453-P453),0.5)=1,
IF(O453&gt;P453, H453 &amp; " +1.5", B453 &amp; " +1.5"),
IF(O453&gt;P453, B453 &amp; " -1.5", H453 &amp; " -1.5")
)
)
)</f>
        <v/>
      </c>
      <c r="AG453" s="15">
        <f>_xlfn.LET(
_xlpm.winA, O453^1.83 / (O453^1.83 + P453^1.83),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54">
      <c r="A454" s="81" t="n">
        <v>46130</v>
      </c>
      <c r="B454" t="inlineStr">
        <is>
          <t>ORIOLES</t>
        </is>
      </c>
      <c r="C454">
        <f>VLOOKUP(B454, 'MLB Data'!$B$5:$D$34, 3, FALSE)</f>
        <v/>
      </c>
      <c r="D454" t="inlineStr">
        <is>
          <t>DEAN KREMER</t>
        </is>
      </c>
      <c r="E454" t="n">
        <v>3.9</v>
      </c>
      <c r="F454" s="17">
        <f>VLOOKUP(B454, 'MLB Data'!$F$2:$H$34, 3, FALSE)</f>
        <v/>
      </c>
      <c r="G454" s="17">
        <f>IF((E454*0.6+F454*0.4)&lt;2.5, 2.8, IF((E454*0.6+F454*0.4)&gt;5.5, 5.2, (E454*0.6+F454*0.4)))</f>
        <v/>
      </c>
      <c r="H454" t="inlineStr">
        <is>
          <t>GUARDIANS</t>
        </is>
      </c>
      <c r="I454">
        <f>VLOOKUP(H454, 'MLB Data'!$B$5:$D$34, 3, FALSE)</f>
        <v/>
      </c>
      <c r="J454" t="inlineStr">
        <is>
          <t>GAVIN WILLIAMS</t>
        </is>
      </c>
      <c r="K454" t="n">
        <v>4.03</v>
      </c>
      <c r="L454" s="17">
        <f>VLOOKUP(H454, 'MLB Data'!$F$2:$H$34, 3, FALSE)</f>
        <v/>
      </c>
      <c r="M454" s="17">
        <f>IF((K454*0.6+L454*0.4)&lt;2.5, 2.8, IF((K454*0.6+L454*0.4)&gt;5.5, 5.2, (K454*0.6+L454*0.4)))</f>
        <v/>
      </c>
      <c r="O454" s="18">
        <f>(C454/100) * 4.1 * (M454 / 4.2) * T454</f>
        <v/>
      </c>
      <c r="P454" s="18">
        <f>(I454/100) * 4.05 * (G454 / 4.2) * T454</f>
        <v/>
      </c>
      <c r="Q454" s="18">
        <f>(O454+P454)</f>
        <v/>
      </c>
      <c r="S454" s="15">
        <f>H454</f>
        <v/>
      </c>
      <c r="T454" s="19">
        <f>IF(S454="ROCKIES",1.13,IF(S454="ATHLETICS",1.03,IF(S454="ROYALS",1.03,IF(S454="TWINS",1,IF(S454="TIGERS",1,IF(S454="MARLINS",1.01,IF(S454="REDS",1.05,IF(S454="RED SOX",1.04,IF(S454="YANKEES",1.02,IF(S454="DODGERS",0.99,IF(S454="PADRES",0.96,IF(S454="CUBS",0.98,IF(S454="GIANTS",0.97,IF(S454="MARINERS",0.94,IF(S454="RANGERS",1,IF(S454="ASTROS",0.99,IF(S454="BRAVES",1,IF(S454="METS",0.96,IF(S454="PHILLIES",1.02,IF(S454="BLUE JAYS",1.01,IF(S454="ORIOLES",0.99,IF(S454="RAYS",1.01,IF(S454="GUARDIANS",0.99,IF(S454="WHITE SOX",0.98,IF(S454="ANGELS",1.01,IF(S454="D-BACKS",1.01,IF(S454="BREWERS",0.99,IF(S454="CARDINALS",0.96,IF(S454="PIRATES",1.02,IF(S454="NATIONALS",1,1))))))))))))))))))))))))))))))*IF(W454="",1,(1+((W454-70)/10*0.035)))*IF(U454="DOME",1,IF(U454="IN",1-(V454*0.01),IF(U454="OUT",1+(V454*0.01),IF(OR(U454="L-R",U454="R-L"),1+(V454*0.005),1))))</f>
        <v/>
      </c>
      <c r="U454" t="inlineStr">
        <is>
          <t>IN</t>
        </is>
      </c>
      <c r="V454" t="n">
        <v>13</v>
      </c>
      <c r="W454" t="n">
        <v>47</v>
      </c>
      <c r="Y454">
        <f>B454 &amp; " vs. " &amp; H454</f>
        <v/>
      </c>
      <c r="Z454">
        <f>TRIM(LEFT(Y454, FIND("vs.", Y454)-1))</f>
        <v/>
      </c>
      <c r="AA454">
        <f>TRIM(MID(Y454, FIND(" vs. ", Y454)+4, 100))</f>
        <v/>
      </c>
      <c r="AB454" s="35">
        <f>IF(Q454 &gt; VALUE(AC454), "O " &amp; AC454, IF(Q454 &lt; VALUE(AC454), "U " &amp; AC454, AC454))</f>
        <v/>
      </c>
      <c r="AC454" s="15">
        <f>IF(OR(O454="-", P454="-"), "-", MROUND(O454 + P454, 0.5))</f>
        <v/>
      </c>
      <c r="AD454" s="15">
        <f>VALUE(TRIM(RIGHT(AF454, LEN(AF454) - FIND(" ", AF454))))</f>
        <v/>
      </c>
      <c r="AE454" s="15">
        <f>LEFT(AF454,FIND(" ",AF454)-1)</f>
        <v/>
      </c>
      <c r="AF454" s="15">
        <f>IF(OR(O454="-", P454="-"), "-",
IF(MROUND(ABS(O454-P454),0.5)&lt;=0.5,
IF(O454&gt;P454, B454 &amp; " ML", H454 &amp; " ML"),
IF(MROUND(ABS(O454-P454),0.5)=1,
IF(O454&gt;P454, H454 &amp; " +1.5", B454 &amp; " +1.5"),
IF(O454&gt;P454, B454 &amp; " -1.5", H454 &amp; " -1.5")
)
)
)</f>
        <v/>
      </c>
      <c r="AG454" s="15">
        <f>_xlfn.LET(
_xlpm.winA, O454^1.83 / (O454^1.83 + P454^1.83),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55">
      <c r="A455" s="81" t="n">
        <v>46130</v>
      </c>
      <c r="B455" t="inlineStr">
        <is>
          <t>CARDINALS</t>
        </is>
      </c>
      <c r="C455">
        <f>VLOOKUP(B455, 'MLB Data'!$B$5:$D$34, 3, FALSE)</f>
        <v/>
      </c>
      <c r="D455" t="inlineStr">
        <is>
          <t>ANDRE PALLANTE</t>
        </is>
      </c>
      <c r="E455" t="n">
        <v>4.37</v>
      </c>
      <c r="F455" s="17">
        <f>VLOOKUP(B455, 'MLB Data'!$F$2:$H$34, 3, FALSE)</f>
        <v/>
      </c>
      <c r="G455" s="17">
        <f>IF((E455*0.6+F455*0.4)&lt;2.5, 2.8, IF((E455*0.6+F455*0.4)&gt;5.5, 5.2, (E455*0.6+F455*0.4)))</f>
        <v/>
      </c>
      <c r="H455" t="inlineStr">
        <is>
          <t>ASTROS</t>
        </is>
      </c>
      <c r="I455">
        <f>VLOOKUP(H455, 'MLB Data'!$B$5:$D$34, 3, FALSE)</f>
        <v/>
      </c>
      <c r="J455" t="inlineStr">
        <is>
          <t>LANCE MCCULLERS JR.</t>
        </is>
      </c>
      <c r="K455" t="n">
        <v>4.7</v>
      </c>
      <c r="L455" s="17">
        <f>VLOOKUP(H455, 'MLB Data'!$F$2:$H$34, 3, FALSE)</f>
        <v/>
      </c>
      <c r="M455" s="17">
        <f>IF((K455*0.6+L455*0.4)&lt;2.5, 2.8, IF((K455*0.6+L455*0.4)&gt;5.5, 5.2, (K455*0.6+L455*0.4)))</f>
        <v/>
      </c>
      <c r="O455" s="18">
        <f>(C455/100) * 4.1 * (M455 / 4.2) * T455</f>
        <v/>
      </c>
      <c r="P455" s="18">
        <f>(I455/100) * 4.05 * (G455 / 4.2) * T455</f>
        <v/>
      </c>
      <c r="Q455" s="18">
        <f>(O455+P455)</f>
        <v/>
      </c>
      <c r="S455" s="15">
        <f>H455</f>
        <v/>
      </c>
      <c r="T455" s="19">
        <f>IF(S455="ROCKIES",1.13,IF(S455="ATHLETICS",1.03,IF(S455="ROYALS",1.03,IF(S455="TWINS",1,IF(S455="TIGERS",1,IF(S455="MARLINS",1.01,IF(S455="REDS",1.05,IF(S455="RED SOX",1.04,IF(S455="YANKEES",1.02,IF(S455="DODGERS",0.99,IF(S455="PADRES",0.96,IF(S455="CUBS",0.98,IF(S455="GIANTS",0.97,IF(S455="MARINERS",0.94,IF(S455="RANGERS",1,IF(S455="ASTROS",0.99,IF(S455="BRAVES",1,IF(S455="METS",0.96,IF(S455="PHILLIES",1.02,IF(S455="BLUE JAYS",1.01,IF(S455="ORIOLES",0.99,IF(S455="RAYS",1.01,IF(S455="GUARDIANS",0.99,IF(S455="WHITE SOX",0.98,IF(S455="ANGELS",1.01,IF(S455="D-BACKS",1.01,IF(S455="BREWERS",0.99,IF(S455="CARDINALS",0.96,IF(S455="PIRATES",1.02,IF(S455="NATIONALS",1,1))))))))))))))))))))))))))))))*IF(W455="",1,(1+((W455-70)/10*0.035)))*IF(U455="DOME",1,IF(U455="IN",1-(V455*0.01),IF(U455="OUT",1+(V455*0.01),IF(OR(U455="L-R",U455="R-L"),1+(V455*0.005),1))))</f>
        <v/>
      </c>
      <c r="U455" t="inlineStr">
        <is>
          <t>DOME</t>
        </is>
      </c>
      <c r="V455" t="n">
        <v>0</v>
      </c>
      <c r="Y455">
        <f>B455 &amp; " vs. " &amp; H455</f>
        <v/>
      </c>
      <c r="Z455">
        <f>TRIM(LEFT(Y455, FIND("vs.", Y455)-1))</f>
        <v/>
      </c>
      <c r="AA455">
        <f>TRIM(MID(Y455, FIND(" vs. ", Y455)+4, 100))</f>
        <v/>
      </c>
      <c r="AB455" s="35">
        <f>IF(Q455 &gt; VALUE(AC455), "O " &amp; AC455, IF(Q455 &lt; VALUE(AC455), "U " &amp; AC455, AC455))</f>
        <v/>
      </c>
      <c r="AC455" s="15">
        <f>IF(OR(O455="-", P455="-"), "-", MROUND(O455 + P455, 0.5))</f>
        <v/>
      </c>
      <c r="AD455" s="15">
        <f>VALUE(TRIM(RIGHT(AF455, LEN(AF455) - FIND(" ", AF455))))</f>
        <v/>
      </c>
      <c r="AE455" s="15">
        <f>LEFT(AF455,FIND(" ",AF455)-1)</f>
        <v/>
      </c>
      <c r="AF455" s="15">
        <f>IF(OR(O455="-", P455="-"), "-",
IF(MROUND(ABS(O455-P455),0.5)&lt;=0.5,
IF(O455&gt;P455, B455 &amp; " ML", H455 &amp; " ML"),
IF(MROUND(ABS(O455-P455),0.5)=1,
IF(O455&gt;P455, H455 &amp; " +1.5", B455 &amp; " +1.5"),
IF(O455&gt;P455, B455 &amp; " -1.5", H455 &amp; " -1.5")
)
)
)</f>
        <v/>
      </c>
      <c r="AG455" s="15">
        <f>_xlfn.LET(
_xlpm.winA, O455^1.83 / (O455^1.83 + P455^1.83),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56">
      <c r="A456" s="81" t="n">
        <v>46130</v>
      </c>
      <c r="B456" t="inlineStr">
        <is>
          <t>RANGERS</t>
        </is>
      </c>
      <c r="C456">
        <f>VLOOKUP(B456, 'MLB Data'!$B$5:$D$34, 3, FALSE)</f>
        <v/>
      </c>
      <c r="D456" t="inlineStr">
        <is>
          <t>NATHAN EOVALDI</t>
        </is>
      </c>
      <c r="E456" t="n">
        <v>3.05</v>
      </c>
      <c r="F456" s="17">
        <f>VLOOKUP(B456, 'MLB Data'!$F$2:$H$34, 3, FALSE)</f>
        <v/>
      </c>
      <c r="G456" s="17">
        <f>IF((E456*0.6+F456*0.4)&lt;2.5, 2.8, IF((E456*0.6+F456*0.4)&gt;5.5, 5.2, (E456*0.6+F456*0.4)))</f>
        <v/>
      </c>
      <c r="H456" t="inlineStr">
        <is>
          <t>MARINERS</t>
        </is>
      </c>
      <c r="I456">
        <f>VLOOKUP(H456, 'MLB Data'!$B$5:$D$34, 3, FALSE)</f>
        <v/>
      </c>
      <c r="J456" t="inlineStr">
        <is>
          <t>GEORGE KIRBY</t>
        </is>
      </c>
      <c r="K456" t="n">
        <v>3.26</v>
      </c>
      <c r="L456" s="17">
        <f>VLOOKUP(H456, 'MLB Data'!$F$2:$H$34, 3, FALSE)</f>
        <v/>
      </c>
      <c r="M456" s="17">
        <f>IF((K456*0.6+L456*0.4)&lt;2.5, 2.8, IF((K456*0.6+L456*0.4)&gt;5.5, 5.2, (K456*0.6+L456*0.4)))</f>
        <v/>
      </c>
      <c r="O456" s="18">
        <f>(C456/100) * 4.1 * (M456 / 4.2) * T456</f>
        <v/>
      </c>
      <c r="P456" s="18">
        <f>(I456/100) * 4.05 * (G456 / 4.2) * T456</f>
        <v/>
      </c>
      <c r="Q456" s="18">
        <f>(O456+P456)</f>
        <v/>
      </c>
      <c r="S456" s="15">
        <f>H456</f>
        <v/>
      </c>
      <c r="T456" s="19">
        <f>IF(S456="ROCKIES",1.13,IF(S456="ATHLETICS",1.03,IF(S456="ROYALS",1.03,IF(S456="TWINS",1,IF(S456="TIGERS",1,IF(S456="MARLINS",1.01,IF(S456="REDS",1.05,IF(S456="RED SOX",1.04,IF(S456="YANKEES",1.02,IF(S456="DODGERS",0.99,IF(S456="PADRES",0.96,IF(S456="CUBS",0.98,IF(S456="GIANTS",0.97,IF(S456="MARINERS",0.94,IF(S456="RANGERS",1,IF(S456="ASTROS",0.99,IF(S456="BRAVES",1,IF(S456="METS",0.96,IF(S456="PHILLIES",1.02,IF(S456="BLUE JAYS",1.01,IF(S456="ORIOLES",0.99,IF(S456="RAYS",1.01,IF(S456="GUARDIANS",0.99,IF(S456="WHITE SOX",0.98,IF(S456="ANGELS",1.01,IF(S456="D-BACKS",1.01,IF(S456="BREWERS",0.99,IF(S456="CARDINALS",0.96,IF(S456="PIRATES",1.02,IF(S456="NATIONALS",1,1))))))))))))))))))))))))))))))*IF(W456="",1,(1+((W456-70)/10*0.035)))*IF(U456="DOME",1,IF(U456="IN",1-(V456*0.01),IF(U456="OUT",1+(V456*0.01),IF(OR(U456="L-R",U456="R-L"),1+(V456*0.005),1))))</f>
        <v/>
      </c>
      <c r="U456" t="inlineStr">
        <is>
          <t>IN</t>
        </is>
      </c>
      <c r="V456" t="n">
        <v>4</v>
      </c>
      <c r="W456" t="n">
        <v>62</v>
      </c>
      <c r="Y456">
        <f>B456 &amp; " vs. " &amp; H456</f>
        <v/>
      </c>
      <c r="Z456">
        <f>TRIM(LEFT(Y456, FIND("vs.", Y456)-1))</f>
        <v/>
      </c>
      <c r="AA456">
        <f>TRIM(MID(Y456, FIND(" vs. ", Y456)+4, 100))</f>
        <v/>
      </c>
      <c r="AB456" s="35">
        <f>IF(Q456 &gt; VALUE(AC456), "O " &amp; AC456, IF(Q456 &lt; VALUE(AC456), "U " &amp; AC456, AC456))</f>
        <v/>
      </c>
      <c r="AC456" s="15">
        <f>IF(OR(O456="-", P456="-"), "-", MROUND(O456 + P456, 0.5))</f>
        <v/>
      </c>
      <c r="AD456" s="15">
        <f>VALUE(TRIM(RIGHT(AF456, LEN(AF456) - FIND(" ", AF456))))</f>
        <v/>
      </c>
      <c r="AE456" s="15">
        <f>LEFT(AF456,FIND(" ",AF456)-1)</f>
        <v/>
      </c>
      <c r="AF456" s="15">
        <f>IF(OR(O456="-", P456="-"), "-",
IF(MROUND(ABS(O456-P456),0.5)&lt;=0.5,
IF(O456&gt;P456, B456 &amp; " ML", H456 &amp; " ML"),
IF(MROUND(ABS(O456-P456),0.5)=1,
IF(O456&gt;P456, H456 &amp; " +1.5", B456 &amp; " +1.5"),
IF(O456&gt;P456, B456 &amp; " -1.5", H456 &amp; " -1.5")
)
)
)</f>
        <v/>
      </c>
      <c r="AG456" s="15">
        <f>_xlfn.LET(
_xlpm.winA, O456^1.83 / (O456^1.83 + P456^1.83),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57">
      <c r="A457" s="81" t="n">
        <v>46130</v>
      </c>
      <c r="B457" t="inlineStr">
        <is>
          <t>BRAVES</t>
        </is>
      </c>
      <c r="C457">
        <f>VLOOKUP(B457, 'MLB Data'!$B$5:$D$34, 3, FALSE)</f>
        <v/>
      </c>
      <c r="D457" t="inlineStr">
        <is>
          <t>CHRIS SALE</t>
        </is>
      </c>
      <c r="E457" t="n">
        <v>3.12</v>
      </c>
      <c r="F457" s="17">
        <f>VLOOKUP(B457, 'MLB Data'!$F$2:$H$34, 3, FALSE)</f>
        <v/>
      </c>
      <c r="G457" s="17">
        <f>IF((E457*0.6+F457*0.4)&lt;2.5, 2.8, IF((E457*0.6+F457*0.4)&gt;5.5, 5.2, (E457*0.6+F457*0.4)))</f>
        <v/>
      </c>
      <c r="H457" t="inlineStr">
        <is>
          <t>PHILLIES</t>
        </is>
      </c>
      <c r="I457">
        <f>VLOOKUP(H457, 'MLB Data'!$B$5:$D$34, 3, FALSE)</f>
        <v/>
      </c>
      <c r="J457" t="inlineStr">
        <is>
          <t>CRISTOPHER SÁNCHEZ</t>
        </is>
      </c>
      <c r="L457" s="17">
        <f>VLOOKUP(H457, 'MLB Data'!$F$2:$H$34, 3, FALSE)</f>
        <v/>
      </c>
      <c r="M457" s="17">
        <f>IF((K457*0.6+L457*0.4)&lt;2.5, 2.8, IF((K457*0.6+L457*0.4)&gt;5.5, 5.2, (K457*0.6+L457*0.4)))</f>
        <v/>
      </c>
      <c r="O457" s="18">
        <f>(C457/100) * 4.1 * (M457 / 4.2) * T457</f>
        <v/>
      </c>
      <c r="P457" s="18">
        <f>(I457/100) * 4.05 * (G457 / 4.2) * T457</f>
        <v/>
      </c>
      <c r="Q457" s="18">
        <f>(O457+P457)</f>
        <v/>
      </c>
      <c r="S457" s="15">
        <f>H457</f>
        <v/>
      </c>
      <c r="T457" s="19">
        <f>IF(S457="ROCKIES",1.13,IF(S457="ATHLETICS",1.03,IF(S457="ROYALS",1.03,IF(S457="TWINS",1,IF(S457="TIGERS",1,IF(S457="MARLINS",1.01,IF(S457="REDS",1.05,IF(S457="RED SOX",1.04,IF(S457="YANKEES",1.02,IF(S457="DODGERS",0.99,IF(S457="PADRES",0.96,IF(S457="CUBS",0.98,IF(S457="GIANTS",0.97,IF(S457="MARINERS",0.94,IF(S457="RANGERS",1,IF(S457="ASTROS",0.99,IF(S457="BRAVES",1,IF(S457="METS",0.96,IF(S457="PHILLIES",1.02,IF(S457="BLUE JAYS",1.01,IF(S457="ORIOLES",0.99,IF(S457="RAYS",1.01,IF(S457="GUARDIANS",0.99,IF(S457="WHITE SOX",0.98,IF(S457="ANGELS",1.01,IF(S457="D-BACKS",1.01,IF(S457="BREWERS",0.99,IF(S457="CARDINALS",0.96,IF(S457="PIRATES",1.02,IF(S457="NATIONALS",1,1))))))))))))))))))))))))))))))*IF(W457="",1,(1+((W457-70)/10*0.035)))*IF(U457="DOME",1,IF(U457="IN",1-(V457*0.01),IF(U457="OUT",1+(V457*0.01),IF(OR(U457="L-R",U457="R-L"),1+(V457*0.005),1))))</f>
        <v/>
      </c>
      <c r="U457" t="inlineStr">
        <is>
          <t>CROSS</t>
        </is>
      </c>
      <c r="V457" t="n">
        <v>11</v>
      </c>
      <c r="W457" t="n">
        <v>61</v>
      </c>
      <c r="Y457">
        <f>B457 &amp; " vs. " &amp; H457</f>
        <v/>
      </c>
      <c r="Z457">
        <f>TRIM(LEFT(Y457, FIND("vs.", Y457)-1))</f>
        <v/>
      </c>
      <c r="AA457">
        <f>TRIM(MID(Y457, FIND(" vs. ", Y457)+4, 100))</f>
        <v/>
      </c>
      <c r="AB457" s="35">
        <f>IF(Q457 &gt; VALUE(AC457), "O " &amp; AC457, IF(Q457 &lt; VALUE(AC457), "U " &amp; AC457, AC457))</f>
        <v/>
      </c>
      <c r="AC457" s="15">
        <f>IF(OR(O457="-", P457="-"), "-", MROUND(O457 + P457, 0.5))</f>
        <v/>
      </c>
      <c r="AD457" s="15">
        <f>VALUE(TRIM(RIGHT(AF457, LEN(AF457) - FIND(" ", AF457))))</f>
        <v/>
      </c>
      <c r="AE457" s="15">
        <f>LEFT(AF457,FIND(" ",AF457)-1)</f>
        <v/>
      </c>
      <c r="AF457" s="15">
        <f>IF(OR(O457="-", P457="-"), "-",
IF(MROUND(ABS(O457-P457),0.5)&lt;=0.5,
IF(O457&gt;P457, B457 &amp; " ML", H457 &amp; " ML"),
IF(MROUND(ABS(O457-P457),0.5)=1,
IF(O457&gt;P457, H457 &amp; " +1.5", B457 &amp; " +1.5"),
IF(O457&gt;P457, B457 &amp; " -1.5", H457 &amp; " -1.5")
)
)
)</f>
        <v/>
      </c>
      <c r="AG457" s="15">
        <f>_xlfn.LET(
_xlpm.winA, O457^1.83 / (O457^1.83 + P457^1.83),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58">
      <c r="A458" s="81" t="n">
        <v>46130</v>
      </c>
      <c r="B458" t="inlineStr">
        <is>
          <t>DODGERS</t>
        </is>
      </c>
      <c r="C458">
        <f>VLOOKUP(B458, 'MLB Data'!$B$5:$D$34, 3, FALSE)</f>
        <v/>
      </c>
      <c r="D458" t="inlineStr">
        <is>
          <t>EMMET SHEEHAN</t>
        </is>
      </c>
      <c r="E458" t="n">
        <v>3.09</v>
      </c>
      <c r="F458" s="17">
        <f>VLOOKUP(B458, 'MLB Data'!$F$2:$H$34, 3, FALSE)</f>
        <v/>
      </c>
      <c r="G458" s="17">
        <f>IF((E458*0.6+F458*0.4)&lt;2.5, 2.8, IF((E458*0.6+F458*0.4)&gt;5.5, 5.2, (E458*0.6+F458*0.4)))</f>
        <v/>
      </c>
      <c r="H458" t="inlineStr">
        <is>
          <t>ROCKIES</t>
        </is>
      </c>
      <c r="I458">
        <f>VLOOKUP(H458, 'MLB Data'!$B$5:$D$34, 3, FALSE)</f>
        <v/>
      </c>
      <c r="J458" t="inlineStr">
        <is>
          <t>RYAN FELTNER</t>
        </is>
      </c>
      <c r="K458" t="n">
        <v>4.57</v>
      </c>
      <c r="L458" s="17">
        <f>VLOOKUP(H458, 'MLB Data'!$F$2:$H$34, 3, FALSE)</f>
        <v/>
      </c>
      <c r="M458" s="17">
        <f>IF((K458*0.6+L458*0.4)&lt;2.5, 2.8, IF((K458*0.6+L458*0.4)&gt;5.5, 5.2, (K458*0.6+L458*0.4)))</f>
        <v/>
      </c>
      <c r="O458" s="18">
        <f>(C458/100) * 4.1 * (M458 / 4.2) * T458</f>
        <v/>
      </c>
      <c r="P458" s="18">
        <f>(I458/100) * 4.05 * (G458 / 4.2) * T458</f>
        <v/>
      </c>
      <c r="Q458" s="18">
        <f>(O458+P458)</f>
        <v/>
      </c>
      <c r="S458" s="15">
        <f>H458</f>
        <v/>
      </c>
      <c r="T458" s="19">
        <f>IF(S458="ROCKIES",1.13,IF(S458="ATHLETICS",1.03,IF(S458="ROYALS",1.03,IF(S458="TWINS",1,IF(S458="TIGERS",1,IF(S458="MARLINS",1.01,IF(S458="REDS",1.05,IF(S458="RED SOX",1.04,IF(S458="YANKEES",1.02,IF(S458="DODGERS",0.99,IF(S458="PADRES",0.96,IF(S458="CUBS",0.98,IF(S458="GIANTS",0.97,IF(S458="MARINERS",0.94,IF(S458="RANGERS",1,IF(S458="ASTROS",0.99,IF(S458="BRAVES",1,IF(S458="METS",0.96,IF(S458="PHILLIES",1.02,IF(S458="BLUE JAYS",1.01,IF(S458="ORIOLES",0.99,IF(S458="RAYS",1.01,IF(S458="GUARDIANS",0.99,IF(S458="WHITE SOX",0.98,IF(S458="ANGELS",1.01,IF(S458="D-BACKS",1.01,IF(S458="BREWERS",0.99,IF(S458="CARDINALS",0.96,IF(S458="PIRATES",1.02,IF(S458="NATIONALS",1,1))))))))))))))))))))))))))))))*IF(W458="",1,(1+((W458-70)/10*0.035)))*IF(U458="DOME",1,IF(U458="IN",1-(V458*0.01),IF(U458="OUT",1+(V458*0.01),IF(OR(U458="L-R",U458="R-L"),1+(V458*0.005),1))))</f>
        <v/>
      </c>
      <c r="U458" t="inlineStr">
        <is>
          <t>CROSS</t>
        </is>
      </c>
      <c r="V458" t="n">
        <v>5</v>
      </c>
      <c r="W458" t="n">
        <v>57</v>
      </c>
      <c r="Y458">
        <f>B458 &amp; " vs. " &amp; H458</f>
        <v/>
      </c>
      <c r="Z458">
        <f>TRIM(LEFT(Y458, FIND("vs.", Y458)-1))</f>
        <v/>
      </c>
      <c r="AA458">
        <f>TRIM(MID(Y458, FIND(" vs. ", Y458)+4, 100))</f>
        <v/>
      </c>
      <c r="AB458" s="35">
        <f>IF(Q458 &gt; VALUE(AC458), "O " &amp; AC458, IF(Q458 &lt; VALUE(AC458), "U " &amp; AC458, AC458))</f>
        <v/>
      </c>
      <c r="AC458" s="15">
        <f>IF(OR(O458="-", P458="-"), "-", MROUND(O458 + P458, 0.5))</f>
        <v/>
      </c>
      <c r="AD458" s="15">
        <f>VALUE(TRIM(RIGHT(AF458, LEN(AF458) - FIND(" ", AF458))))</f>
        <v/>
      </c>
      <c r="AE458" s="15">
        <f>LEFT(AF458,FIND(" ",AF458)-1)</f>
        <v/>
      </c>
      <c r="AF458" s="15">
        <f>IF(OR(O458="-", P458="-"), "-",
IF(MROUND(ABS(O458-P458),0.5)&lt;=0.5,
IF(O458&gt;P458, B458 &amp; " ML", H458 &amp; " ML"),
IF(MROUND(ABS(O458-P458),0.5)=1,
IF(O458&gt;P458, H458 &amp; " +1.5", B458 &amp; " +1.5"),
IF(O458&gt;P458, B458 &amp; " -1.5", H458 &amp; " -1.5")
)
)
)</f>
        <v/>
      </c>
      <c r="AG458" s="15">
        <f>_xlfn.LET(
_xlpm.winA, O458^1.83 / (O458^1.83 + P458^1.83),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59">
      <c r="A459" s="81" t="n">
        <v>46130</v>
      </c>
      <c r="B459" t="inlineStr">
        <is>
          <t>BLUE JAYS</t>
        </is>
      </c>
      <c r="C459">
        <f>VLOOKUP(B459, 'MLB Data'!$B$5:$D$34, 3, FALSE)</f>
        <v/>
      </c>
      <c r="D459" t="inlineStr">
        <is>
          <t>MAX SCHERZER</t>
        </is>
      </c>
      <c r="E459" t="n">
        <v>4.65</v>
      </c>
      <c r="F459" s="17">
        <f>VLOOKUP(B459, 'MLB Data'!$F$2:$H$34, 3, FALSE)</f>
        <v/>
      </c>
      <c r="G459" s="17">
        <f>IF((E459*0.6+F459*0.4)&lt;2.5, 2.8, IF((E459*0.6+F459*0.4)&gt;5.5, 5.2, (E459*0.6+F459*0.4)))</f>
        <v/>
      </c>
      <c r="H459" t="inlineStr">
        <is>
          <t>D-BACKS</t>
        </is>
      </c>
      <c r="I459">
        <f>VLOOKUP(H459, 'MLB Data'!$B$5:$D$34, 3, FALSE)</f>
        <v/>
      </c>
      <c r="J459" t="inlineStr">
        <is>
          <t>ZAC GALLEN</t>
        </is>
      </c>
      <c r="K459" t="n">
        <v>4.19</v>
      </c>
      <c r="L459" s="17">
        <f>VLOOKUP(H459, 'MLB Data'!$F$2:$H$34, 3, FALSE)</f>
        <v/>
      </c>
      <c r="M459" s="17">
        <f>IF((K459*0.6+L459*0.4)&lt;2.5, 2.8, IF((K459*0.6+L459*0.4)&gt;5.5, 5.2, (K459*0.6+L459*0.4)))</f>
        <v/>
      </c>
      <c r="O459" s="18">
        <f>(C459/100) * 4.1 * (M459 / 4.2) * T459</f>
        <v/>
      </c>
      <c r="P459" s="18">
        <f>(I459/100) * 4.05 * (G459 / 4.2) * T459</f>
        <v/>
      </c>
      <c r="Q459" s="18">
        <f>(O459+P459)</f>
        <v/>
      </c>
      <c r="S459" s="15">
        <f>H459</f>
        <v/>
      </c>
      <c r="T459" s="19">
        <f>IF(S459="ROCKIES",1.13,IF(S459="ATHLETICS",1.03,IF(S459="ROYALS",1.03,IF(S459="TWINS",1,IF(S459="TIGERS",1,IF(S459="MARLINS",1.01,IF(S459="REDS",1.05,IF(S459="RED SOX",1.04,IF(S459="YANKEES",1.02,IF(S459="DODGERS",0.99,IF(S459="PADRES",0.96,IF(S459="CUBS",0.98,IF(S459="GIANTS",0.97,IF(S459="MARINERS",0.94,IF(S459="RANGERS",1,IF(S459="ASTROS",0.99,IF(S459="BRAVES",1,IF(S459="METS",0.96,IF(S459="PHILLIES",1.02,IF(S459="BLUE JAYS",1.01,IF(S459="ORIOLES",0.99,IF(S459="RAYS",1.01,IF(S459="GUARDIANS",0.99,IF(S459="WHITE SOX",0.98,IF(S459="ANGELS",1.01,IF(S459="D-BACKS",1.01,IF(S459="BREWERS",0.99,IF(S459="CARDINALS",0.96,IF(S459="PIRATES",1.02,IF(S459="NATIONALS",1,1))))))))))))))))))))))))))))))*IF(W459="",1,(1+((W459-70)/10*0.035)))*IF(U459="DOME",1,IF(U459="IN",1-(V459*0.01),IF(U459="OUT",1+(V459*0.01),IF(OR(U459="L-R",U459="R-L"),1+(V459*0.005),1))))</f>
        <v/>
      </c>
      <c r="U459" t="inlineStr">
        <is>
          <t>DOME</t>
        </is>
      </c>
      <c r="V459" t="n">
        <v>0</v>
      </c>
      <c r="Y459">
        <f>B459 &amp; " vs. " &amp; H459</f>
        <v/>
      </c>
      <c r="Z459">
        <f>TRIM(LEFT(Y459, FIND("vs.", Y459)-1))</f>
        <v/>
      </c>
      <c r="AA459">
        <f>TRIM(MID(Y459, FIND(" vs. ", Y459)+4, 100))</f>
        <v/>
      </c>
      <c r="AB459" s="35">
        <f>IF(Q459 &gt; VALUE(AC459), "O " &amp; AC459, IF(Q459 &lt; VALUE(AC459), "U " &amp; AC459, AC459))</f>
        <v/>
      </c>
      <c r="AC459" s="15">
        <f>IF(OR(O459="-", P459="-"), "-", MROUND(O459 + P459, 0.5))</f>
        <v/>
      </c>
      <c r="AD459" s="15">
        <f>VALUE(TRIM(RIGHT(AF459, LEN(AF459) - FIND(" ", AF459))))</f>
        <v/>
      </c>
      <c r="AE459" s="15">
        <f>LEFT(AF459,FIND(" ",AF459)-1)</f>
        <v/>
      </c>
      <c r="AF459" s="15">
        <f>IF(OR(O459="-", P459="-"), "-",
IF(MROUND(ABS(O459-P459),0.5)&lt;=0.5,
IF(O459&gt;P459, B459 &amp; " ML", H459 &amp; " ML"),
IF(MROUND(ABS(O459-P459),0.5)=1,
IF(O459&gt;P459, H459 &amp; " +1.5", B459 &amp; " +1.5"),
IF(O459&gt;P459, B459 &amp; " -1.5", H459 &amp; " -1.5")
)
)
)</f>
        <v/>
      </c>
      <c r="AG459" s="15">
        <f>_xlfn.LET(
_xlpm.winA, O459^1.83 / (O459^1.83 + P459^1.83),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60">
      <c r="A460" s="81" t="n">
        <v>46130</v>
      </c>
      <c r="B460" t="inlineStr">
        <is>
          <t>PADRES</t>
        </is>
      </c>
      <c r="C460">
        <f>VLOOKUP(B460, 'MLB Data'!$B$5:$D$34, 3, FALSE)</f>
        <v/>
      </c>
      <c r="D460" t="inlineStr">
        <is>
          <t>GERMÁN MÁRQUEZ</t>
        </is>
      </c>
      <c r="F460" s="17">
        <f>VLOOKUP(B460, 'MLB Data'!$F$2:$H$34, 3, FALSE)</f>
        <v/>
      </c>
      <c r="G460" s="17">
        <f>IF((E460*0.6+F460*0.4)&lt;2.5, 2.8, IF((E460*0.6+F460*0.4)&gt;5.5, 5.2, (E460*0.6+F460*0.4)))</f>
        <v/>
      </c>
      <c r="H460" t="inlineStr">
        <is>
          <t>ANGELS</t>
        </is>
      </c>
      <c r="I460">
        <f>VLOOKUP(H460, 'MLB Data'!$B$5:$D$34, 3, FALSE)</f>
        <v/>
      </c>
      <c r="J460" t="inlineStr">
        <is>
          <t>YUSEI KIKUCHI</t>
        </is>
      </c>
      <c r="K460" t="n">
        <v>4.3</v>
      </c>
      <c r="L460" s="17">
        <f>VLOOKUP(H460, 'MLB Data'!$F$2:$H$34, 3, FALSE)</f>
        <v/>
      </c>
      <c r="M460" s="17">
        <f>IF((K460*0.6+L460*0.4)&lt;2.5, 2.8, IF((K460*0.6+L460*0.4)&gt;5.5, 5.2, (K460*0.6+L460*0.4)))</f>
        <v/>
      </c>
      <c r="O460" s="18">
        <f>(C460/100) * 4.1 * (M460 / 4.2) * T460</f>
        <v/>
      </c>
      <c r="P460" s="18">
        <f>(I460/100) * 4.05 * (G460 / 4.2) * T460</f>
        <v/>
      </c>
      <c r="Q460" s="18">
        <f>(O460+P460)</f>
        <v/>
      </c>
      <c r="S460" s="15">
        <f>H460</f>
        <v/>
      </c>
      <c r="T460" s="19">
        <f>IF(S460="ROCKIES",1.13,IF(S460="ATHLETICS",1.03,IF(S460="ROYALS",1.03,IF(S460="TWINS",1,IF(S460="TIGERS",1,IF(S460="MARLINS",1.01,IF(S460="REDS",1.05,IF(S460="RED SOX",1.04,IF(S460="YANKEES",1.02,IF(S460="DODGERS",0.99,IF(S460="PADRES",0.96,IF(S460="CUBS",0.98,IF(S460="GIANTS",0.97,IF(S460="MARINERS",0.94,IF(S460="RANGERS",1,IF(S460="ASTROS",0.99,IF(S460="BRAVES",1,IF(S460="METS",0.96,IF(S460="PHILLIES",1.02,IF(S460="BLUE JAYS",1.01,IF(S460="ORIOLES",0.99,IF(S460="RAYS",1.01,IF(S460="GUARDIANS",0.99,IF(S460="WHITE SOX",0.98,IF(S460="ANGELS",1.01,IF(S460="D-BACKS",1.01,IF(S460="BREWERS",0.99,IF(S460="CARDINALS",0.96,IF(S460="PIRATES",1.02,IF(S460="NATIONALS",1,1))))))))))))))))))))))))))))))*IF(W460="",1,(1+((W460-70)/10*0.035)))*IF(U460="DOME",1,IF(U460="IN",1-(V460*0.01),IF(U460="OUT",1+(V460*0.01),IF(OR(U460="L-R",U460="R-L"),1+(V460*0.005),1))))</f>
        <v/>
      </c>
      <c r="U460" t="inlineStr">
        <is>
          <t>OUT</t>
        </is>
      </c>
      <c r="V460" t="n">
        <v>8</v>
      </c>
      <c r="W460" t="n">
        <v>76</v>
      </c>
      <c r="Y460">
        <f>B460 &amp; " vs. " &amp; H460</f>
        <v/>
      </c>
      <c r="Z460">
        <f>TRIM(LEFT(Y460, FIND("vs.", Y460)-1))</f>
        <v/>
      </c>
      <c r="AA460">
        <f>TRIM(MID(Y460, FIND(" vs. ", Y460)+4, 100))</f>
        <v/>
      </c>
      <c r="AB460" s="35">
        <f>IF(Q460 &gt; VALUE(AC460), "O " &amp; AC460, IF(Q460 &lt; VALUE(AC460), "U " &amp; AC460, AC460))</f>
        <v/>
      </c>
      <c r="AC460" s="15">
        <f>IF(OR(O460="-", P460="-"), "-", MROUND(O460 + P460, 0.5))</f>
        <v/>
      </c>
      <c r="AD460" s="15">
        <f>VALUE(TRIM(RIGHT(AF460, LEN(AF460) - FIND(" ", AF460))))</f>
        <v/>
      </c>
      <c r="AE460" s="15">
        <f>LEFT(AF460,FIND(" ",AF460)-1)</f>
        <v/>
      </c>
      <c r="AF460" s="15">
        <f>IF(OR(O460="-", P460="-"), "-",
IF(MROUND(ABS(O460-P460),0.5)&lt;=0.5,
IF(O460&gt;P460, B460 &amp; " ML", H460 &amp; " ML"),
IF(MROUND(ABS(O460-P460),0.5)=1,
IF(O460&gt;P460, H460 &amp; " +1.5", B460 &amp; " +1.5"),
IF(O460&gt;P460, B460 &amp; " -1.5", H460 &amp; " -1.5")
)
)
)</f>
        <v/>
      </c>
      <c r="AG460" s="15">
        <f>_xlfn.LET(
_xlpm.winA, O460^1.83 / (O460^1.83 + P460^1.83),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61">
      <c r="A461" s="81" t="n">
        <v>46133</v>
      </c>
      <c r="B461" t="inlineStr">
        <is>
          <t>ASTROS</t>
        </is>
      </c>
      <c r="C461">
        <f>VLOOKUP(B461, 'MLB Data'!$B$5:$D$34, 3, FALSE)</f>
        <v/>
      </c>
      <c r="D461" t="inlineStr">
        <is>
          <t>RYAN WEISS</t>
        </is>
      </c>
      <c r="E461" t="n">
        <v>6.64</v>
      </c>
      <c r="F461" s="17">
        <f>VLOOKUP(B461, 'MLB Data'!$F$2:$H$34, 3, FALSE)</f>
        <v/>
      </c>
      <c r="G461" s="17">
        <f>IF((E461*0.6+F461*0.4)&lt;2.5, 2.8, IF((E461*0.6+F461*0.4)&gt;5.5, 5.2, (E461*0.6+F461*0.4)))</f>
        <v/>
      </c>
      <c r="H461" t="inlineStr">
        <is>
          <t>GUARDIANS</t>
        </is>
      </c>
      <c r="I461">
        <f>VLOOKUP(H461, 'MLB Data'!$B$5:$D$34, 3, FALSE)</f>
        <v/>
      </c>
      <c r="J461" t="inlineStr">
        <is>
          <t>PARKER MESSICK</t>
        </is>
      </c>
      <c r="K461" t="n">
        <v>3.14</v>
      </c>
      <c r="L461" s="17">
        <f>VLOOKUP(H461, 'MLB Data'!$F$2:$H$34, 3, FALSE)</f>
        <v/>
      </c>
      <c r="M461" s="17">
        <f>IF((K461*0.6+L461*0.4)&lt;2.5, 2.8, IF((K461*0.6+L461*0.4)&gt;5.5, 5.2, (K461*0.6+L461*0.4)))</f>
        <v/>
      </c>
      <c r="O461" s="18">
        <f>(C461/100) * 4.1 * (M461 / 4.2) * T461</f>
        <v/>
      </c>
      <c r="P461" s="18">
        <f>(I461/100) * 4.05 * (G461 / 4.2) * T461</f>
        <v/>
      </c>
      <c r="Q461" s="18">
        <f>(O461+P461)</f>
        <v/>
      </c>
      <c r="S461" s="15">
        <f>H461</f>
        <v/>
      </c>
      <c r="T461" s="19">
        <f>IF(S461="ROCKIES",1.13,IF(S461="ATHLETICS",1.03,IF(S461="ROYALS",1.03,IF(S461="TWINS",1,IF(S461="TIGERS",1,IF(S461="MARLINS",1.01,IF(S461="REDS",1.05,IF(S461="RED SOX",1.04,IF(S461="YANKEES",1.02,IF(S461="DODGERS",0.99,IF(S461="PADRES",0.96,IF(S461="CUBS",0.98,IF(S461="GIANTS",0.97,IF(S461="MARINERS",0.94,IF(S461="RANGERS",1,IF(S461="ASTROS",0.99,IF(S461="BRAVES",1,IF(S461="METS",0.96,IF(S461="PHILLIES",1.02,IF(S461="BLUE JAYS",1.01,IF(S461="ORIOLES",0.99,IF(S461="RAYS",1.01,IF(S461="GUARDIANS",0.99,IF(S461="WHITE SOX",0.98,IF(S461="ANGELS",1.01,IF(S461="D-BACKS",1.01,IF(S461="BREWERS",0.99,IF(S461="CARDINALS",0.96,IF(S461="PIRATES",1.02,IF(S461="NATIONALS",1,1))))))))))))))))))))))))))))))*IF(W461="",1,(1+((W461-70)/10*0.035)))*IF(U461="DOME",1,IF(U461="IN",1-(V461*0.01),IF(U461="OUT",1+(V461*0.01),IF(OR(U461="L-R",U461="R-L"),1+(V461*0.005),1))))</f>
        <v/>
      </c>
      <c r="U461" t="inlineStr">
        <is>
          <t>CROSS</t>
        </is>
      </c>
      <c r="V461" t="n">
        <v>13</v>
      </c>
      <c r="W461" t="n">
        <v>71</v>
      </c>
      <c r="Y461">
        <f>B461 &amp; " vs. " &amp; H461</f>
        <v/>
      </c>
      <c r="Z461">
        <f>TRIM(LEFT(Y461, FIND("vs.", Y461)-1))</f>
        <v/>
      </c>
      <c r="AA461">
        <f>TRIM(MID(Y461, FIND(" vs. ", Y461)+4, 100))</f>
        <v/>
      </c>
      <c r="AB461" s="35">
        <f>IF(Q461 &gt; VALUE(AC461), "O " &amp; AC461, IF(Q461 &lt; VALUE(AC461), "U " &amp; AC461, AC461))</f>
        <v/>
      </c>
      <c r="AC461" s="15">
        <f>IF(OR(O461="-", P461="-"), "-", MROUND(O461 + P461, 0.5))</f>
        <v/>
      </c>
      <c r="AD461" s="15">
        <f>VALUE(TRIM(RIGHT(AF461, LEN(AF461) - FIND(" ", AF461))))</f>
        <v/>
      </c>
      <c r="AE461" s="15">
        <f>LEFT(AF461,FIND(" ",AF461)-1)</f>
        <v/>
      </c>
      <c r="AF461" s="15">
        <f>IF(OR(O461="-", P461="-"), "-",
IF(MROUND(ABS(O461-P461),0.5)&lt;=0.5,
IF(O461&gt;P461, B461 &amp; " ML", H461 &amp; " ML"),
IF(MROUND(ABS(O461-P461),0.5)=1,
IF(O461&gt;P461, H461 &amp; " +1.5", B461 &amp; " +1.5"),
IF(O461&gt;P461, B461 &amp; " -1.5", H461 &amp; " -1.5")
)
)
)</f>
        <v/>
      </c>
      <c r="AG461" s="15">
        <f>_xlfn.LET(
_xlpm.winA, O461^1.83 / (O461^1.83 + P461^1.83),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62">
      <c r="A462" s="81" t="n">
        <v>46133</v>
      </c>
      <c r="B462" t="inlineStr">
        <is>
          <t>REDS</t>
        </is>
      </c>
      <c r="C462">
        <f>VLOOKUP(B462, 'MLB Data'!$B$5:$D$34, 3, FALSE)</f>
        <v/>
      </c>
      <c r="D462" t="inlineStr">
        <is>
          <t>CHASE BURNS</t>
        </is>
      </c>
      <c r="E462" t="n">
        <v>2.52</v>
      </c>
      <c r="F462" s="17">
        <f>VLOOKUP(B462, 'MLB Data'!$F$2:$H$34, 3, FALSE)</f>
        <v/>
      </c>
      <c r="G462" s="17">
        <f>IF((E462*0.6+F462*0.4)&lt;2.5, 2.8, IF((E462*0.6+F462*0.4)&gt;5.5, 5.2, (E462*0.6+F462*0.4)))</f>
        <v/>
      </c>
      <c r="H462" t="inlineStr">
        <is>
          <t>RAYS</t>
        </is>
      </c>
      <c r="I462">
        <f>VLOOKUP(H462, 'MLB Data'!$B$5:$D$34, 3, FALSE)</f>
        <v/>
      </c>
      <c r="J462" t="inlineStr">
        <is>
          <t>STEVEN MATZ</t>
        </is>
      </c>
      <c r="K462" t="n">
        <v>2.1</v>
      </c>
      <c r="L462" s="17">
        <f>VLOOKUP(H462, 'MLB Data'!$F$2:$H$34, 3, FALSE)</f>
        <v/>
      </c>
      <c r="M462" s="17">
        <f>IF((K462*0.6+L462*0.4)&lt;2.5, 2.8, IF((K462*0.6+L462*0.4)&gt;5.5, 5.2, (K462*0.6+L462*0.4)))</f>
        <v/>
      </c>
      <c r="O462" s="18">
        <f>(C462/100) * 4.1 * (M462 / 4.2) * T462</f>
        <v/>
      </c>
      <c r="P462" s="18">
        <f>(I462/100) * 4.05 * (G462 / 4.2) * T462</f>
        <v/>
      </c>
      <c r="Q462" s="18">
        <f>(O462+P462)</f>
        <v/>
      </c>
      <c r="S462" s="15">
        <f>H462</f>
        <v/>
      </c>
      <c r="T462" s="19">
        <f>IF(S462="ROCKIES",1.13,IF(S462="ATHLETICS",1.03,IF(S462="ROYALS",1.03,IF(S462="TWINS",1,IF(S462="TIGERS",1,IF(S462="MARLINS",1.01,IF(S462="REDS",1.05,IF(S462="RED SOX",1.04,IF(S462="YANKEES",1.02,IF(S462="DODGERS",0.99,IF(S462="PADRES",0.96,IF(S462="CUBS",0.98,IF(S462="GIANTS",0.97,IF(S462="MARINERS",0.94,IF(S462="RANGERS",1,IF(S462="ASTROS",0.99,IF(S462="BRAVES",1,IF(S462="METS",0.96,IF(S462="PHILLIES",1.02,IF(S462="BLUE JAYS",1.01,IF(S462="ORIOLES",0.99,IF(S462="RAYS",1.01,IF(S462="GUARDIANS",0.99,IF(S462="WHITE SOX",0.98,IF(S462="ANGELS",1.01,IF(S462="D-BACKS",1.01,IF(S462="BREWERS",0.99,IF(S462="CARDINALS",0.96,IF(S462="PIRATES",1.02,IF(S462="NATIONALS",1,1))))))))))))))))))))))))))))))*IF(W462="",1,(1+((W462-70)/10*0.035)))*IF(U462="DOME",1,IF(U462="IN",1-(V462*0.01),IF(U462="OUT",1+(V462*0.01),IF(OR(U462="L-R",U462="R-L"),1+(V462*0.005),1))))</f>
        <v/>
      </c>
      <c r="U462" t="inlineStr">
        <is>
          <t>DOME</t>
        </is>
      </c>
      <c r="V462" t="n">
        <v>0</v>
      </c>
      <c r="Y462">
        <f>B462 &amp; " vs. " &amp; H462</f>
        <v/>
      </c>
      <c r="Z462">
        <f>TRIM(LEFT(Y462, FIND("vs.", Y462)-1))</f>
        <v/>
      </c>
      <c r="AA462">
        <f>TRIM(MID(Y462, FIND(" vs. ", Y462)+4, 100))</f>
        <v/>
      </c>
      <c r="AB462" s="35">
        <f>IF(Q462 &gt; VALUE(AC462), "O " &amp; AC462, IF(Q462 &lt; VALUE(AC462), "U " &amp; AC462, AC462))</f>
        <v/>
      </c>
      <c r="AC462" s="15">
        <f>IF(OR(O462="-", P462="-"), "-", MROUND(O462 + P462, 0.5))</f>
        <v/>
      </c>
      <c r="AD462" s="15">
        <f>VALUE(TRIM(RIGHT(AF462, LEN(AF462) - FIND(" ", AF462))))</f>
        <v/>
      </c>
      <c r="AE462" s="15">
        <f>LEFT(AF462,FIND(" ",AF462)-1)</f>
        <v/>
      </c>
      <c r="AF462" s="15">
        <f>IF(OR(O462="-", P462="-"), "-",
IF(MROUND(ABS(O462-P462),0.5)&lt;=0.5,
IF(O462&gt;P462, B462 &amp; " ML", H462 &amp; " ML"),
IF(MROUND(ABS(O462-P462),0.5)=1,
IF(O462&gt;P462, H462 &amp; " +1.5", B462 &amp; " +1.5"),
IF(O462&gt;P462, B462 &amp; " -1.5", H462 &amp; " -1.5")
)
)
)</f>
        <v/>
      </c>
      <c r="AG462" s="15">
        <f>_xlfn.LET(
_xlpm.winA, O462^1.83 / (O462^1.83 + P462^1.83),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63">
      <c r="A463" s="81" t="n">
        <v>46133</v>
      </c>
      <c r="B463" t="inlineStr">
        <is>
          <t>CARDINALS</t>
        </is>
      </c>
      <c r="C463">
        <f>VLOOKUP(B463, 'MLB Data'!$B$5:$D$34, 3, FALSE)</f>
        <v/>
      </c>
      <c r="D463" t="inlineStr">
        <is>
          <t>DUSTIN MAY</t>
        </is>
      </c>
      <c r="E463" t="n">
        <v>4.45</v>
      </c>
      <c r="F463" s="17">
        <f>VLOOKUP(B463, 'MLB Data'!$F$2:$H$34, 3, FALSE)</f>
        <v/>
      </c>
      <c r="G463" s="17">
        <f>IF((E463*0.6+F463*0.4)&lt;2.5, 2.8, IF((E463*0.6+F463*0.4)&gt;5.5, 5.2, (E463*0.6+F463*0.4)))</f>
        <v/>
      </c>
      <c r="H463" t="inlineStr">
        <is>
          <t>MARLINS</t>
        </is>
      </c>
      <c r="I463">
        <f>VLOOKUP(H463, 'MLB Data'!$B$5:$D$34, 3, FALSE)</f>
        <v/>
      </c>
      <c r="J463" t="inlineStr">
        <is>
          <t>CHRIS PADDACK</t>
        </is>
      </c>
      <c r="K463" t="n">
        <v>4.64</v>
      </c>
      <c r="L463" s="17">
        <f>VLOOKUP(H463, 'MLB Data'!$F$2:$H$34, 3, FALSE)</f>
        <v/>
      </c>
      <c r="M463" s="17">
        <f>IF((K463*0.6+L463*0.4)&lt;2.5, 2.8, IF((K463*0.6+L463*0.4)&gt;5.5, 5.2, (K463*0.6+L463*0.4)))</f>
        <v/>
      </c>
      <c r="O463" s="18">
        <f>(C463/100) * 4.1 * (M463 / 4.2) * T463</f>
        <v/>
      </c>
      <c r="P463" s="18">
        <f>(I463/100) * 4.05 * (G463 / 4.2) * T463</f>
        <v/>
      </c>
      <c r="Q463" s="18">
        <f>(O463+P463)</f>
        <v/>
      </c>
      <c r="S463" s="15">
        <f>H463</f>
        <v/>
      </c>
      <c r="T463" s="19">
        <f>IF(S463="ROCKIES",1.13,IF(S463="ATHLETICS",1.03,IF(S463="ROYALS",1.03,IF(S463="TWINS",1,IF(S463="TIGERS",1,IF(S463="MARLINS",1.01,IF(S463="REDS",1.05,IF(S463="RED SOX",1.04,IF(S463="YANKEES",1.02,IF(S463="DODGERS",0.99,IF(S463="PADRES",0.96,IF(S463="CUBS",0.98,IF(S463="GIANTS",0.97,IF(S463="MARINERS",0.94,IF(S463="RANGERS",1,IF(S463="ASTROS",0.99,IF(S463="BRAVES",1,IF(S463="METS",0.96,IF(S463="PHILLIES",1.02,IF(S463="BLUE JAYS",1.01,IF(S463="ORIOLES",0.99,IF(S463="RAYS",1.01,IF(S463="GUARDIANS",0.99,IF(S463="WHITE SOX",0.98,IF(S463="ANGELS",1.01,IF(S463="D-BACKS",1.01,IF(S463="BREWERS",0.99,IF(S463="CARDINALS",0.96,IF(S463="PIRATES",1.02,IF(S463="NATIONALS",1,1))))))))))))))))))))))))))))))*IF(W463="",1,(1+((W463-70)/10*0.035)))*IF(U463="DOME",1,IF(U463="IN",1-(V463*0.01),IF(U463="OUT",1+(V463*0.01),IF(OR(U463="L-R",U463="R-L"),1+(V463*0.005),1))))</f>
        <v/>
      </c>
      <c r="U463" t="inlineStr">
        <is>
          <t>DOME</t>
        </is>
      </c>
      <c r="V463" t="n">
        <v>0</v>
      </c>
      <c r="Y463">
        <f>B463 &amp; " vs. " &amp; H463</f>
        <v/>
      </c>
      <c r="Z463">
        <f>TRIM(LEFT(Y463, FIND("vs.", Y463)-1))</f>
        <v/>
      </c>
      <c r="AA463">
        <f>TRIM(MID(Y463, FIND(" vs. ", Y463)+4, 100))</f>
        <v/>
      </c>
      <c r="AB463" s="35">
        <f>IF(Q463 &gt; VALUE(AC463), "O " &amp; AC463, IF(Q463 &lt; VALUE(AC463), "U " &amp; AC463, AC463))</f>
        <v/>
      </c>
      <c r="AC463" s="15">
        <f>IF(OR(O463="-", P463="-"), "-", MROUND(O463 + P463, 0.5))</f>
        <v/>
      </c>
      <c r="AD463" s="15">
        <f>VALUE(TRIM(RIGHT(AF463, LEN(AF463) - FIND(" ", AF463))))</f>
        <v/>
      </c>
      <c r="AE463" s="15">
        <f>LEFT(AF463,FIND(" ",AF463)-1)</f>
        <v/>
      </c>
      <c r="AF463" s="15">
        <f>IF(OR(O463="-", P463="-"), "-",
IF(MROUND(ABS(O463-P463),0.5)&lt;=0.5,
IF(O463&gt;P463, B463 &amp; " ML", H463 &amp; " ML"),
IF(MROUND(ABS(O463-P463),0.5)=1,
IF(O463&gt;P463, H463 &amp; " +1.5", B463 &amp; " +1.5"),
IF(O463&gt;P463, B463 &amp; " -1.5", H463 &amp; " -1.5")
)
)
)</f>
        <v/>
      </c>
      <c r="AG463" s="15">
        <f>_xlfn.LET(
_xlpm.winA, O463^1.83 / (O463^1.83 + P463^1.83),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64">
      <c r="A464" s="81" t="n">
        <v>46133</v>
      </c>
      <c r="B464" t="inlineStr">
        <is>
          <t>BREWERS</t>
        </is>
      </c>
      <c r="C464">
        <f>VLOOKUP(B464, 'MLB Data'!$B$5:$D$34, 3, FALSE)</f>
        <v/>
      </c>
      <c r="D464" t="inlineStr">
        <is>
          <t>KYLE HARRISON</t>
        </is>
      </c>
      <c r="E464" t="n">
        <v>3.78</v>
      </c>
      <c r="F464" s="17">
        <f>VLOOKUP(B464, 'MLB Data'!$F$2:$H$34, 3, FALSE)</f>
        <v/>
      </c>
      <c r="G464" s="17">
        <f>IF((E464*0.6+F464*0.4)&lt;2.5, 2.8, IF((E464*0.6+F464*0.4)&gt;5.5, 5.2, (E464*0.6+F464*0.4)))</f>
        <v/>
      </c>
      <c r="H464" t="inlineStr">
        <is>
          <t>TIGERS</t>
        </is>
      </c>
      <c r="I464">
        <f>VLOOKUP(H464, 'MLB Data'!$B$5:$D$34, 3, FALSE)</f>
        <v/>
      </c>
      <c r="J464" t="inlineStr">
        <is>
          <t>KEIDER MONTERO</t>
        </is>
      </c>
      <c r="K464" t="n">
        <v>4.36</v>
      </c>
      <c r="L464" s="17">
        <f>VLOOKUP(H464, 'MLB Data'!$F$2:$H$34, 3, FALSE)</f>
        <v/>
      </c>
      <c r="M464" s="17">
        <f>IF((K464*0.6+L464*0.4)&lt;2.5, 2.8, IF((K464*0.6+L464*0.4)&gt;5.5, 5.2, (K464*0.6+L464*0.4)))</f>
        <v/>
      </c>
      <c r="O464" s="18">
        <f>(C464/100) * 4.1 * (M464 / 4.2) * T464</f>
        <v/>
      </c>
      <c r="P464" s="18">
        <f>(I464/100) * 4.05 * (G464 / 4.2) * T464</f>
        <v/>
      </c>
      <c r="Q464" s="18">
        <f>(O464+P464)</f>
        <v/>
      </c>
      <c r="S464" s="15">
        <f>H464</f>
        <v/>
      </c>
      <c r="T464" s="19">
        <f>IF(S464="ROCKIES",1.13,IF(S464="ATHLETICS",1.03,IF(S464="ROYALS",1.03,IF(S464="TWINS",1,IF(S464="TIGERS",1,IF(S464="MARLINS",1.01,IF(S464="REDS",1.05,IF(S464="RED SOX",1.04,IF(S464="YANKEES",1.02,IF(S464="DODGERS",0.99,IF(S464="PADRES",0.96,IF(S464="CUBS",0.98,IF(S464="GIANTS",0.97,IF(S464="MARINERS",0.94,IF(S464="RANGERS",1,IF(S464="ASTROS",0.99,IF(S464="BRAVES",1,IF(S464="METS",0.96,IF(S464="PHILLIES",1.02,IF(S464="BLUE JAYS",1.01,IF(S464="ORIOLES",0.99,IF(S464="RAYS",1.01,IF(S464="GUARDIANS",0.99,IF(S464="WHITE SOX",0.98,IF(S464="ANGELS",1.01,IF(S464="D-BACKS",1.01,IF(S464="BREWERS",0.99,IF(S464="CARDINALS",0.96,IF(S464="PIRATES",1.02,IF(S464="NATIONALS",1,1))))))))))))))))))))))))))))))*IF(W464="",1,(1+((W464-70)/10*0.035)))*IF(U464="DOME",1,IF(U464="IN",1-(V464*0.01),IF(U464="OUT",1+(V464*0.01),IF(OR(U464="L-R",U464="R-L"),1+(V464*0.005),1))))</f>
        <v/>
      </c>
      <c r="U464" t="inlineStr">
        <is>
          <t>CROSS</t>
        </is>
      </c>
      <c r="V464" t="n">
        <v>13</v>
      </c>
      <c r="W464" t="n">
        <v>72</v>
      </c>
      <c r="Y464">
        <f>B464 &amp; " vs. " &amp; H464</f>
        <v/>
      </c>
      <c r="Z464">
        <f>TRIM(LEFT(Y464, FIND("vs.", Y464)-1))</f>
        <v/>
      </c>
      <c r="AA464">
        <f>TRIM(MID(Y464, FIND(" vs. ", Y464)+4, 100))</f>
        <v/>
      </c>
      <c r="AB464" s="35">
        <f>IF(Q464 &gt; VALUE(AC464), "O " &amp; AC464, IF(Q464 &lt; VALUE(AC464), "U " &amp; AC464, AC464))</f>
        <v/>
      </c>
      <c r="AC464" s="15">
        <f>IF(OR(O464="-", P464="-"), "-", MROUND(O464 + P464, 0.5))</f>
        <v/>
      </c>
      <c r="AD464" s="15">
        <f>VALUE(TRIM(RIGHT(AF464, LEN(AF464) - FIND(" ", AF464))))</f>
        <v/>
      </c>
      <c r="AE464" s="15">
        <f>LEFT(AF464,FIND(" ",AF464)-1)</f>
        <v/>
      </c>
      <c r="AF464" s="15">
        <f>IF(OR(O464="-", P464="-"), "-",
IF(MROUND(ABS(O464-P464),0.5)&lt;=0.5,
IF(O464&gt;P464, B464 &amp; " ML", H464 &amp; " ML"),
IF(MROUND(ABS(O464-P464),0.5)=1,
IF(O464&gt;P464, H464 &amp; " +1.5", B464 &amp; " +1.5"),
IF(O464&gt;P464, B464 &amp; " -1.5", H464 &amp; " -1.5")
)
)
)</f>
        <v/>
      </c>
      <c r="AG464" s="15">
        <f>_xlfn.LET(
_xlpm.winA, O464^1.83 / (O464^1.83 + P464^1.83),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65">
      <c r="A465" s="81" t="n">
        <v>46133</v>
      </c>
      <c r="B465" t="inlineStr">
        <is>
          <t>BRAVES</t>
        </is>
      </c>
      <c r="C465">
        <f>VLOOKUP(B465, 'MLB Data'!$B$5:$D$34, 3, FALSE)</f>
        <v/>
      </c>
      <c r="D465" t="inlineStr">
        <is>
          <t>REYNALDO LÓPEZ</t>
        </is>
      </c>
      <c r="E465" t="n">
        <v>5.61</v>
      </c>
      <c r="F465" s="17">
        <f>VLOOKUP(B465, 'MLB Data'!$F$2:$H$34, 3, FALSE)</f>
        <v/>
      </c>
      <c r="G465" s="17">
        <f>IF((E465*0.6+F465*0.4)&lt;2.5, 2.8, IF((E465*0.6+F465*0.4)&gt;5.5, 5.2, (E465*0.6+F465*0.4)))</f>
        <v/>
      </c>
      <c r="H465" t="inlineStr">
        <is>
          <t>NATIONALS</t>
        </is>
      </c>
      <c r="I465">
        <f>VLOOKUP(H465, 'MLB Data'!$B$5:$D$34, 3, FALSE)</f>
        <v/>
      </c>
      <c r="J465" t="inlineStr">
        <is>
          <t>FOSTER GRIFFIN</t>
        </is>
      </c>
      <c r="K465" t="n">
        <v>4.05</v>
      </c>
      <c r="L465" s="17">
        <f>VLOOKUP(H465, 'MLB Data'!$F$2:$H$34, 3, FALSE)</f>
        <v/>
      </c>
      <c r="M465" s="17">
        <f>IF((K465*0.6+L465*0.4)&lt;2.5, 2.8, IF((K465*0.6+L465*0.4)&gt;5.5, 5.2, (K465*0.6+L465*0.4)))</f>
        <v/>
      </c>
      <c r="O465" s="18">
        <f>(C465/100) * 4.1 * (M465 / 4.2) * T465</f>
        <v/>
      </c>
      <c r="P465" s="18">
        <f>(I465/100) * 4.05 * (G465 / 4.2) * T465</f>
        <v/>
      </c>
      <c r="Q465" s="18">
        <f>(O465+P465)</f>
        <v/>
      </c>
      <c r="S465" s="15">
        <f>H465</f>
        <v/>
      </c>
      <c r="T465" s="19">
        <f>IF(S465="ROCKIES",1.13,IF(S465="ATHLETICS",1.03,IF(S465="ROYALS",1.03,IF(S465="TWINS",1,IF(S465="TIGERS",1,IF(S465="MARLINS",1.01,IF(S465="REDS",1.05,IF(S465="RED SOX",1.04,IF(S465="YANKEES",1.02,IF(S465="DODGERS",0.99,IF(S465="PADRES",0.96,IF(S465="CUBS",0.98,IF(S465="GIANTS",0.97,IF(S465="MARINERS",0.94,IF(S465="RANGERS",1,IF(S465="ASTROS",0.99,IF(S465="BRAVES",1,IF(S465="METS",0.96,IF(S465="PHILLIES",1.02,IF(S465="BLUE JAYS",1.01,IF(S465="ORIOLES",0.99,IF(S465="RAYS",1.01,IF(S465="GUARDIANS",0.99,IF(S465="WHITE SOX",0.98,IF(S465="ANGELS",1.01,IF(S465="D-BACKS",1.01,IF(S465="BREWERS",0.99,IF(S465="CARDINALS",0.96,IF(S465="PIRATES",1.02,IF(S465="NATIONALS",1,1))))))))))))))))))))))))))))))*IF(W465="",1,(1+((W465-70)/10*0.035)))*IF(U465="DOME",1,IF(U465="IN",1-(V465*0.01),IF(U465="OUT",1+(V465*0.01),IF(OR(U465="L-R",U465="R-L"),1+(V465*0.005),1))))</f>
        <v/>
      </c>
      <c r="U465" t="inlineStr">
        <is>
          <t>OUT</t>
        </is>
      </c>
      <c r="V465" t="n">
        <v>8</v>
      </c>
      <c r="W465" t="n">
        <v>62</v>
      </c>
      <c r="Y465">
        <f>B465 &amp; " vs. " &amp; H465</f>
        <v/>
      </c>
      <c r="Z465">
        <f>TRIM(LEFT(Y465, FIND("vs.", Y465)-1))</f>
        <v/>
      </c>
      <c r="AA465">
        <f>TRIM(MID(Y465, FIND(" vs. ", Y465)+4, 100))</f>
        <v/>
      </c>
      <c r="AB465" s="35">
        <f>IF(Q465 &gt; VALUE(AC465), "O " &amp; AC465, IF(Q465 &lt; VALUE(AC465), "U " &amp; AC465, AC465))</f>
        <v/>
      </c>
      <c r="AC465" s="15">
        <f>IF(OR(O465="-", P465="-"), "-", MROUND(O465 + P465, 0.5))</f>
        <v/>
      </c>
      <c r="AD465" s="15">
        <f>VALUE(TRIM(RIGHT(AF465, LEN(AF465) - FIND(" ", AF465))))</f>
        <v/>
      </c>
      <c r="AE465" s="15">
        <f>LEFT(AF465,FIND(" ",AF465)-1)</f>
        <v/>
      </c>
      <c r="AF465" s="15">
        <f>IF(OR(O465="-", P465="-"), "-",
IF(MROUND(ABS(O465-P465),0.5)&lt;=0.5,
IF(O465&gt;P465, B465 &amp; " ML", H465 &amp; " ML"),
IF(MROUND(ABS(O465-P465),0.5)=1,
IF(O465&gt;P465, H465 &amp; " +1.5", B465 &amp; " +1.5"),
IF(O465&gt;P465, B465 &amp; " -1.5", H465 &amp; " -1.5")
)
)
)</f>
        <v/>
      </c>
      <c r="AG465" s="15">
        <f>_xlfn.LET(
_xlpm.winA, O465^1.83 / (O465^1.83 + P465^1.83),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66">
      <c r="A466" s="81" t="n">
        <v>46133</v>
      </c>
      <c r="B466" t="inlineStr">
        <is>
          <t>YANKEES</t>
        </is>
      </c>
      <c r="C466">
        <f>VLOOKUP(B466, 'MLB Data'!$B$5:$D$34, 3, FALSE)</f>
        <v/>
      </c>
      <c r="D466" t="inlineStr">
        <is>
          <t>LUIS GIL</t>
        </is>
      </c>
      <c r="E466" t="n">
        <v>5.6</v>
      </c>
      <c r="F466" s="17">
        <f>VLOOKUP(B466, 'MLB Data'!$F$2:$H$34, 3, FALSE)</f>
        <v/>
      </c>
      <c r="G466" s="17">
        <f>IF((E466*0.6+F466*0.4)&lt;2.5, 2.8, IF((E466*0.6+F466*0.4)&gt;5.5, 5.2, (E466*0.6+F466*0.4)))</f>
        <v/>
      </c>
      <c r="H466" t="inlineStr">
        <is>
          <t>RED SOX</t>
        </is>
      </c>
      <c r="I466">
        <f>VLOOKUP(H466, 'MLB Data'!$B$5:$D$34, 3, FALSE)</f>
        <v/>
      </c>
      <c r="J466" t="inlineStr">
        <is>
          <t>CONNELLY EARLY</t>
        </is>
      </c>
      <c r="K466" t="n">
        <v>2.59</v>
      </c>
      <c r="L466" s="17">
        <f>VLOOKUP(H466, 'MLB Data'!$F$2:$H$34, 3, FALSE)</f>
        <v/>
      </c>
      <c r="M466" s="17">
        <f>IF((K466*0.6+L466*0.4)&lt;2.5, 2.8, IF((K466*0.6+L466*0.4)&gt;5.5, 5.2, (K466*0.6+L466*0.4)))</f>
        <v/>
      </c>
      <c r="O466" s="18">
        <f>(C466/100) * 4.1 * (M466 / 4.2) * T466</f>
        <v/>
      </c>
      <c r="P466" s="18">
        <f>(I466/100) * 4.05 * (G466 / 4.2) * T466</f>
        <v/>
      </c>
      <c r="Q466" s="18">
        <f>(O466+P466)</f>
        <v/>
      </c>
      <c r="S466" s="15">
        <f>H466</f>
        <v/>
      </c>
      <c r="T466" s="19">
        <f>IF(S466="ROCKIES",1.13,IF(S466="ATHLETICS",1.03,IF(S466="ROYALS",1.03,IF(S466="TWINS",1,IF(S466="TIGERS",1,IF(S466="MARLINS",1.01,IF(S466="REDS",1.05,IF(S466="RED SOX",1.04,IF(S466="YANKEES",1.02,IF(S466="DODGERS",0.99,IF(S466="PADRES",0.96,IF(S466="CUBS",0.98,IF(S466="GIANTS",0.97,IF(S466="MARINERS",0.94,IF(S466="RANGERS",1,IF(S466="ASTROS",0.99,IF(S466="BRAVES",1,IF(S466="METS",0.96,IF(S466="PHILLIES",1.02,IF(S466="BLUE JAYS",1.01,IF(S466="ORIOLES",0.99,IF(S466="RAYS",1.01,IF(S466="GUARDIANS",0.99,IF(S466="WHITE SOX",0.98,IF(S466="ANGELS",1.01,IF(S466="D-BACKS",1.01,IF(S466="BREWERS",0.99,IF(S466="CARDINALS",0.96,IF(S466="PIRATES",1.02,IF(S466="NATIONALS",1,1))))))))))))))))))))))))))))))*IF(W466="",1,(1+((W466-70)/10*0.035)))*IF(U466="DOME",1,IF(U466="IN",1-(V466*0.01),IF(U466="OUT",1+(V466*0.01),IF(OR(U466="L-R",U466="R-L"),1+(V466*0.005),1))))</f>
        <v/>
      </c>
      <c r="U466" t="inlineStr">
        <is>
          <t>IN</t>
        </is>
      </c>
      <c r="V466" t="n">
        <v>10</v>
      </c>
      <c r="W466" t="n">
        <v>42</v>
      </c>
      <c r="Y466">
        <f>B466 &amp; " vs. " &amp; H466</f>
        <v/>
      </c>
      <c r="Z466">
        <f>TRIM(LEFT(Y466, FIND("vs.", Y466)-1))</f>
        <v/>
      </c>
      <c r="AA466">
        <f>TRIM(MID(Y466, FIND(" vs. ", Y466)+4, 100))</f>
        <v/>
      </c>
      <c r="AB466" s="35">
        <f>IF(Q466 &gt; VALUE(AC466), "O " &amp; AC466, IF(Q466 &lt; VALUE(AC466), "U " &amp; AC466, AC466))</f>
        <v/>
      </c>
      <c r="AC466" s="15">
        <f>IF(OR(O466="-", P466="-"), "-", MROUND(O466 + P466, 0.5))</f>
        <v/>
      </c>
      <c r="AD466" s="15">
        <f>VALUE(TRIM(RIGHT(AF466, LEN(AF466) - FIND(" ", AF466))))</f>
        <v/>
      </c>
      <c r="AE466" s="15">
        <f>LEFT(AF466,FIND(" ",AF466)-1)</f>
        <v/>
      </c>
      <c r="AF466" s="15">
        <f>IF(OR(O466="-", P466="-"), "-",
IF(MROUND(ABS(O466-P466),0.5)&lt;=0.5,
IF(O466&gt;P466, B466 &amp; " ML", H466 &amp; " ML"),
IF(MROUND(ABS(O466-P466),0.5)=1,
IF(O466&gt;P466, H466 &amp; " +1.5", B466 &amp; " +1.5"),
IF(O466&gt;P466, B466 &amp; " -1.5", H466 &amp; " -1.5")
)
)
)</f>
        <v/>
      </c>
      <c r="AG466" s="15">
        <f>_xlfn.LET(
_xlpm.winA, O466^1.83 / (O466^1.83 + P466^1.83),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67">
      <c r="A467" s="81" t="n">
        <v>46133</v>
      </c>
      <c r="B467" t="inlineStr">
        <is>
          <t>TWINS</t>
        </is>
      </c>
      <c r="C467">
        <f>VLOOKUP(B467, 'MLB Data'!$B$5:$D$34, 3, FALSE)</f>
        <v/>
      </c>
      <c r="D467" t="inlineStr">
        <is>
          <t>SIMEON WOODS RICHARDSON</t>
        </is>
      </c>
      <c r="E467" t="n">
        <v>4.72</v>
      </c>
      <c r="F467" s="17">
        <f>VLOOKUP(B467, 'MLB Data'!$F$2:$H$34, 3, FALSE)</f>
        <v/>
      </c>
      <c r="G467" s="17">
        <f>IF((E467*0.6+F467*0.4)&lt;2.5, 2.8, IF((E467*0.6+F467*0.4)&gt;5.5, 5.2, (E467*0.6+F467*0.4)))</f>
        <v/>
      </c>
      <c r="H467" t="inlineStr">
        <is>
          <t>METS</t>
        </is>
      </c>
      <c r="I467">
        <f>VLOOKUP(H467, 'MLB Data'!$B$5:$D$34, 3, FALSE)</f>
        <v/>
      </c>
      <c r="J467" t="inlineStr">
        <is>
          <t>NOLAN MCLEAN</t>
        </is>
      </c>
      <c r="K467" t="n">
        <v>2.79</v>
      </c>
      <c r="L467" s="17">
        <f>VLOOKUP(H467, 'MLB Data'!$F$2:$H$34, 3, FALSE)</f>
        <v/>
      </c>
      <c r="M467" s="17">
        <f>IF((K467*0.6+L467*0.4)&lt;2.5, 2.8, IF((K467*0.6+L467*0.4)&gt;5.5, 5.2, (K467*0.6+L467*0.4)))</f>
        <v/>
      </c>
      <c r="O467" s="18">
        <f>(C467/100) * 4.1 * (M467 / 4.2) * T467</f>
        <v/>
      </c>
      <c r="P467" s="18">
        <f>(I467/100) * 4.05 * (G467 / 4.2) * T467</f>
        <v/>
      </c>
      <c r="Q467" s="18">
        <f>(O467+P467)</f>
        <v/>
      </c>
      <c r="S467" s="15">
        <f>H467</f>
        <v/>
      </c>
      <c r="T467" s="19">
        <f>IF(S467="ROCKIES",1.13,IF(S467="ATHLETICS",1.03,IF(S467="ROYALS",1.03,IF(S467="TWINS",1,IF(S467="TIGERS",1,IF(S467="MARLINS",1.01,IF(S467="REDS",1.05,IF(S467="RED SOX",1.04,IF(S467="YANKEES",1.02,IF(S467="DODGERS",0.99,IF(S467="PADRES",0.96,IF(S467="CUBS",0.98,IF(S467="GIANTS",0.97,IF(S467="MARINERS",0.94,IF(S467="RANGERS",1,IF(S467="ASTROS",0.99,IF(S467="BRAVES",1,IF(S467="METS",0.96,IF(S467="PHILLIES",1.02,IF(S467="BLUE JAYS",1.01,IF(S467="ORIOLES",0.99,IF(S467="RAYS",1.01,IF(S467="GUARDIANS",0.99,IF(S467="WHITE SOX",0.98,IF(S467="ANGELS",1.01,IF(S467="D-BACKS",1.01,IF(S467="BREWERS",0.99,IF(S467="CARDINALS",0.96,IF(S467="PIRATES",1.02,IF(S467="NATIONALS",1,1))))))))))))))))))))))))))))))*IF(W467="",1,(1+((W467-70)/10*0.035)))*IF(U467="DOME",1,IF(U467="IN",1-(V467*0.01),IF(U467="OUT",1+(V467*0.01),IF(OR(U467="L-R",U467="R-L"),1+(V467*0.005),1))))</f>
        <v/>
      </c>
      <c r="U467" t="inlineStr">
        <is>
          <t>CROSS</t>
        </is>
      </c>
      <c r="V467" t="n">
        <v>11</v>
      </c>
      <c r="W467" t="n">
        <v>46</v>
      </c>
      <c r="Y467">
        <f>B467 &amp; " vs. " &amp; H467</f>
        <v/>
      </c>
      <c r="Z467">
        <f>TRIM(LEFT(Y467, FIND("vs.", Y467)-1))</f>
        <v/>
      </c>
      <c r="AA467">
        <f>TRIM(MID(Y467, FIND(" vs. ", Y467)+4, 100))</f>
        <v/>
      </c>
      <c r="AB467" s="35">
        <f>IF(Q467 &gt; VALUE(AC467), "O " &amp; AC467, IF(Q467 &lt; VALUE(AC467), "U " &amp; AC467, AC467))</f>
        <v/>
      </c>
      <c r="AC467" s="15">
        <f>IF(OR(O467="-", P467="-"), "-", MROUND(O467 + P467, 0.5))</f>
        <v/>
      </c>
      <c r="AD467" s="15">
        <f>VALUE(TRIM(RIGHT(AF467, LEN(AF467) - FIND(" ", AF467))))</f>
        <v/>
      </c>
      <c r="AE467" s="15">
        <f>LEFT(AF467,FIND(" ",AF467)-1)</f>
        <v/>
      </c>
      <c r="AF467" s="15">
        <f>IF(OR(O467="-", P467="-"), "-",
IF(MROUND(ABS(O467-P467),0.5)&lt;=0.5,
IF(O467&gt;P467, B467 &amp; " ML", H467 &amp; " ML"),
IF(MROUND(ABS(O467-P467),0.5)=1,
IF(O467&gt;P467, H467 &amp; " +1.5", B467 &amp; " +1.5"),
IF(O467&gt;P467, B467 &amp; " -1.5", H467 &amp; " -1.5")
)
)
)</f>
        <v/>
      </c>
      <c r="AG467" s="15">
        <f>_xlfn.LET(
_xlpm.winA, O467^1.83 / (O467^1.83 + P467^1.83),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68">
      <c r="A468" s="81" t="n">
        <v>46133</v>
      </c>
      <c r="B468" t="inlineStr">
        <is>
          <t>ORIOLES</t>
        </is>
      </c>
      <c r="C468">
        <f>VLOOKUP(B468, 'MLB Data'!$B$5:$D$34, 3, FALSE)</f>
        <v/>
      </c>
      <c r="D468" t="inlineStr">
        <is>
          <t>SHANE BAZ</t>
        </is>
      </c>
      <c r="E468" t="n">
        <v>3.93</v>
      </c>
      <c r="F468" s="17">
        <f>VLOOKUP(B468, 'MLB Data'!$F$2:$H$34, 3, FALSE)</f>
        <v/>
      </c>
      <c r="G468" s="17">
        <f>IF((E468*0.6+F468*0.4)&lt;2.5, 2.8, IF((E468*0.6+F468*0.4)&gt;5.5, 5.2, (E468*0.6+F468*0.4)))</f>
        <v/>
      </c>
      <c r="H468" t="inlineStr">
        <is>
          <t>ROYALS</t>
        </is>
      </c>
      <c r="I468">
        <f>VLOOKUP(H468, 'MLB Data'!$B$5:$D$34, 3, FALSE)</f>
        <v/>
      </c>
      <c r="J468" t="inlineStr">
        <is>
          <t>KRIS BUBIC</t>
        </is>
      </c>
      <c r="K468" t="n">
        <v>3.65</v>
      </c>
      <c r="L468" s="17">
        <f>VLOOKUP(H468, 'MLB Data'!$F$2:$H$34, 3, FALSE)</f>
        <v/>
      </c>
      <c r="M468" s="17">
        <f>IF((K468*0.6+L468*0.4)&lt;2.5, 2.8, IF((K468*0.6+L468*0.4)&gt;5.5, 5.2, (K468*0.6+L468*0.4)))</f>
        <v/>
      </c>
      <c r="O468" s="18">
        <f>(C468/100) * 4.1 * (M468 / 4.2) * T468</f>
        <v/>
      </c>
      <c r="P468" s="18">
        <f>(I468/100) * 4.05 * (G468 / 4.2) * T468</f>
        <v/>
      </c>
      <c r="Q468" s="18">
        <f>(O468+P468)</f>
        <v/>
      </c>
      <c r="S468" s="15">
        <f>H468</f>
        <v/>
      </c>
      <c r="T468" s="19">
        <f>IF(S468="ROCKIES",1.13,IF(S468="ATHLETICS",1.03,IF(S468="ROYALS",1.03,IF(S468="TWINS",1,IF(S468="TIGERS",1,IF(S468="MARLINS",1.01,IF(S468="REDS",1.05,IF(S468="RED SOX",1.04,IF(S468="YANKEES",1.02,IF(S468="DODGERS",0.99,IF(S468="PADRES",0.96,IF(S468="CUBS",0.98,IF(S468="GIANTS",0.97,IF(S468="MARINERS",0.94,IF(S468="RANGERS",1,IF(S468="ASTROS",0.99,IF(S468="BRAVES",1,IF(S468="METS",0.96,IF(S468="PHILLIES",1.02,IF(S468="BLUE JAYS",1.01,IF(S468="ORIOLES",0.99,IF(S468="RAYS",1.01,IF(S468="GUARDIANS",0.99,IF(S468="WHITE SOX",0.98,IF(S468="ANGELS",1.01,IF(S468="D-BACKS",1.01,IF(S468="BREWERS",0.99,IF(S468="CARDINALS",0.96,IF(S468="PIRATES",1.02,IF(S468="NATIONALS",1,1))))))))))))))))))))))))))))))*IF(W468="",1,(1+((W468-70)/10*0.035)))*IF(U468="DOME",1,IF(U468="IN",1-(V468*0.01),IF(U468="OUT",1+(V468*0.01),IF(OR(U468="L-R",U468="R-L"),1+(V468*0.005),1))))</f>
        <v/>
      </c>
      <c r="U468" t="inlineStr">
        <is>
          <t>OUT</t>
        </is>
      </c>
      <c r="V468" t="n">
        <v>17</v>
      </c>
      <c r="W468" t="n">
        <v>78</v>
      </c>
      <c r="Y468">
        <f>B468 &amp; " vs. " &amp; H468</f>
        <v/>
      </c>
      <c r="Z468">
        <f>TRIM(LEFT(Y468, FIND("vs.", Y468)-1))</f>
        <v/>
      </c>
      <c r="AA468">
        <f>TRIM(MID(Y468, FIND(" vs. ", Y468)+4, 100))</f>
        <v/>
      </c>
      <c r="AB468" s="35">
        <f>IF(Q468 &gt; VALUE(AC468), "O " &amp; AC468, IF(Q468 &lt; VALUE(AC468), "U " &amp; AC468, AC468))</f>
        <v/>
      </c>
      <c r="AC468" s="15">
        <f>IF(OR(O468="-", P468="-"), "-", MROUND(O468 + P468, 0.5))</f>
        <v/>
      </c>
      <c r="AD468" s="15">
        <f>VALUE(TRIM(RIGHT(AF468, LEN(AF468) - FIND(" ", AF468))))</f>
        <v/>
      </c>
      <c r="AE468" s="15">
        <f>LEFT(AF468,FIND(" ",AF468)-1)</f>
        <v/>
      </c>
      <c r="AF468" s="15">
        <f>IF(OR(O468="-", P468="-"), "-",
IF(MROUND(ABS(O468-P468),0.5)&lt;=0.5,
IF(O468&gt;P468, B468 &amp; " ML", H468 &amp; " ML"),
IF(MROUND(ABS(O468-P468),0.5)=1,
IF(O468&gt;P468, H468 &amp; " +1.5", B468 &amp; " +1.5"),
IF(O468&gt;P468, B468 &amp; " -1.5", H468 &amp; " -1.5")
)
)
)</f>
        <v/>
      </c>
      <c r="AG468" s="15">
        <f>_xlfn.LET(
_xlpm.winA, O468^1.83 / (O468^1.83 + P468^1.83),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69">
      <c r="A469" s="81" t="n">
        <v>46133</v>
      </c>
      <c r="B469" t="inlineStr">
        <is>
          <t>PHILLIES</t>
        </is>
      </c>
      <c r="C469">
        <f>VLOOKUP(B469, 'MLB Data'!$B$5:$D$34, 3, FALSE)</f>
        <v/>
      </c>
      <c r="D469" t="inlineStr">
        <is>
          <t>JESÚS LUZARDO</t>
        </is>
      </c>
      <c r="E469" t="n">
        <v>3.09</v>
      </c>
      <c r="F469" s="17">
        <f>VLOOKUP(B469, 'MLB Data'!$F$2:$H$34, 3, FALSE)</f>
        <v/>
      </c>
      <c r="G469" s="17">
        <f>IF((E469*0.6+F469*0.4)&lt;2.5, 2.8, IF((E469*0.6+F469*0.4)&gt;5.5, 5.2, (E469*0.6+F469*0.4)))</f>
        <v/>
      </c>
      <c r="H469" t="inlineStr">
        <is>
          <t>CUBS</t>
        </is>
      </c>
      <c r="I469">
        <f>VLOOKUP(H469, 'MLB Data'!$B$5:$D$34, 3, FALSE)</f>
        <v/>
      </c>
      <c r="J469" t="inlineStr">
        <is>
          <t>SHOTA IMANAGA</t>
        </is>
      </c>
      <c r="K469" t="n">
        <v>4.27</v>
      </c>
      <c r="L469" s="17">
        <f>VLOOKUP(H469, 'MLB Data'!$F$2:$H$34, 3, FALSE)</f>
        <v/>
      </c>
      <c r="M469" s="17">
        <f>IF((K469*0.6+L469*0.4)&lt;2.5, 2.8, IF((K469*0.6+L469*0.4)&gt;5.5, 5.2, (K469*0.6+L469*0.4)))</f>
        <v/>
      </c>
      <c r="O469" s="18">
        <f>(C469/100) * 4.1 * (M469 / 4.2) * T469</f>
        <v/>
      </c>
      <c r="P469" s="18">
        <f>(I469/100) * 4.05 * (G469 / 4.2) * T469</f>
        <v/>
      </c>
      <c r="Q469" s="18">
        <f>(O469+P469)</f>
        <v/>
      </c>
      <c r="S469" s="15">
        <f>H469</f>
        <v/>
      </c>
      <c r="T469" s="19">
        <f>IF(S469="ROCKIES",1.13,IF(S469="ATHLETICS",1.03,IF(S469="ROYALS",1.03,IF(S469="TWINS",1,IF(S469="TIGERS",1,IF(S469="MARLINS",1.01,IF(S469="REDS",1.05,IF(S469="RED SOX",1.04,IF(S469="YANKEES",1.02,IF(S469="DODGERS",0.99,IF(S469="PADRES",0.96,IF(S469="CUBS",0.98,IF(S469="GIANTS",0.97,IF(S469="MARINERS",0.94,IF(S469="RANGERS",1,IF(S469="ASTROS",0.99,IF(S469="BRAVES",1,IF(S469="METS",0.96,IF(S469="PHILLIES",1.02,IF(S469="BLUE JAYS",1.01,IF(S469="ORIOLES",0.99,IF(S469="RAYS",1.01,IF(S469="GUARDIANS",0.99,IF(S469="WHITE SOX",0.98,IF(S469="ANGELS",1.01,IF(S469="D-BACKS",1.01,IF(S469="BREWERS",0.99,IF(S469="CARDINALS",0.96,IF(S469="PIRATES",1.02,IF(S469="NATIONALS",1,1))))))))))))))))))))))))))))))*IF(W469="",1,(1+((W469-70)/10*0.035)))*IF(U469="DOME",1,IF(U469="IN",1-(V469*0.01),IF(U469="OUT",1+(V469*0.01),IF(OR(U469="L-R",U469="R-L"),1+(V469*0.005),1))))</f>
        <v/>
      </c>
      <c r="U469" t="inlineStr">
        <is>
          <t>CROSS</t>
        </is>
      </c>
      <c r="V469" t="n">
        <v>6</v>
      </c>
      <c r="W469" t="n">
        <v>58</v>
      </c>
      <c r="Y469">
        <f>B469 &amp; " vs. " &amp; H469</f>
        <v/>
      </c>
      <c r="Z469">
        <f>TRIM(LEFT(Y469, FIND("vs.", Y469)-1))</f>
        <v/>
      </c>
      <c r="AA469">
        <f>TRIM(MID(Y469, FIND(" vs. ", Y469)+4, 100))</f>
        <v/>
      </c>
      <c r="AB469" s="35">
        <f>IF(Q469 &gt; VALUE(AC469), "O " &amp; AC469, IF(Q469 &lt; VALUE(AC469), "U " &amp; AC469, AC469))</f>
        <v/>
      </c>
      <c r="AC469" s="15">
        <f>IF(OR(O469="-", P469="-"), "-", MROUND(O469 + P469, 0.5))</f>
        <v/>
      </c>
      <c r="AD469" s="15">
        <f>VALUE(TRIM(RIGHT(AF469, LEN(AF469) - FIND(" ", AF469))))</f>
        <v/>
      </c>
      <c r="AE469" s="15">
        <f>LEFT(AF469,FIND(" ",AF469)-1)</f>
        <v/>
      </c>
      <c r="AF469" s="15">
        <f>IF(OR(O469="-", P469="-"), "-",
IF(MROUND(ABS(O469-P469),0.5)&lt;=0.5,
IF(O469&gt;P469, B469 &amp; " ML", H469 &amp; " ML"),
IF(MROUND(ABS(O469-P469),0.5)=1,
IF(O469&gt;P469, H469 &amp; " +1.5", B469 &amp; " +1.5"),
IF(O469&gt;P469, B469 &amp; " -1.5", H469 &amp; " -1.5")
)
)
)</f>
        <v/>
      </c>
      <c r="AG469" s="15">
        <f>_xlfn.LET(
_xlpm.winA, O469^1.83 / (O469^1.83 + P469^1.83),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70">
      <c r="A470" s="81" t="n">
        <v>46133</v>
      </c>
      <c r="B470" t="inlineStr">
        <is>
          <t>PIRATES</t>
        </is>
      </c>
      <c r="C470">
        <f>VLOOKUP(B470, 'MLB Data'!$B$5:$D$34, 3, FALSE)</f>
        <v/>
      </c>
      <c r="D470" t="inlineStr">
        <is>
          <t>TBD</t>
        </is>
      </c>
      <c r="F470" s="17">
        <f>VLOOKUP(B470, 'MLB Data'!$F$2:$H$34, 3, FALSE)</f>
        <v/>
      </c>
      <c r="G470" s="17">
        <f>IF((E470*0.6+F470*0.4)&lt;2.5, 2.8, IF((E470*0.6+F470*0.4)&gt;5.5, 5.2, (E470*0.6+F470*0.4)))</f>
        <v/>
      </c>
      <c r="H470" t="inlineStr">
        <is>
          <t>RANGERS</t>
        </is>
      </c>
      <c r="I470">
        <f>VLOOKUP(H470, 'MLB Data'!$B$5:$D$34, 3, FALSE)</f>
        <v/>
      </c>
      <c r="J470" t="inlineStr">
        <is>
          <t>TBD</t>
        </is>
      </c>
      <c r="L470" s="17">
        <f>VLOOKUP(H470, 'MLB Data'!$F$2:$H$34, 3, FALSE)</f>
        <v/>
      </c>
      <c r="M470" s="17">
        <f>IF((K470*0.6+L470*0.4)&lt;2.5, 2.8, IF((K470*0.6+L470*0.4)&gt;5.5, 5.2, (K470*0.6+L470*0.4)))</f>
        <v/>
      </c>
      <c r="O470" s="18">
        <f>(C470/100) * 4.1 * (M470 / 4.2) * T470</f>
        <v/>
      </c>
      <c r="P470" s="18">
        <f>(I470/100) * 4.05 * (G470 / 4.2) * T470</f>
        <v/>
      </c>
      <c r="Q470" s="18">
        <f>(O470+P470)</f>
        <v/>
      </c>
      <c r="S470" s="15">
        <f>H470</f>
        <v/>
      </c>
      <c r="T470" s="19">
        <f>IF(S470="ROCKIES",1.13,IF(S470="ATHLETICS",1.03,IF(S470="ROYALS",1.03,IF(S470="TWINS",1,IF(S470="TIGERS",1,IF(S470="MARLINS",1.01,IF(S470="REDS",1.05,IF(S470="RED SOX",1.04,IF(S470="YANKEES",1.02,IF(S470="DODGERS",0.99,IF(S470="PADRES",0.96,IF(S470="CUBS",0.98,IF(S470="GIANTS",0.97,IF(S470="MARINERS",0.94,IF(S470="RANGERS",1,IF(S470="ASTROS",0.99,IF(S470="BRAVES",1,IF(S470="METS",0.96,IF(S470="PHILLIES",1.02,IF(S470="BLUE JAYS",1.01,IF(S470="ORIOLES",0.99,IF(S470="RAYS",1.01,IF(S470="GUARDIANS",0.99,IF(S470="WHITE SOX",0.98,IF(S470="ANGELS",1.01,IF(S470="D-BACKS",1.01,IF(S470="BREWERS",0.99,IF(S470="CARDINALS",0.96,IF(S470="PIRATES",1.02,IF(S470="NATIONALS",1,1))))))))))))))))))))))))))))))*IF(W470="",1,(1+((W470-70)/10*0.035)))*IF(U470="DOME",1,IF(U470="IN",1-(V470*0.01),IF(U470="OUT",1+(V470*0.01),IF(OR(U470="L-R",U470="R-L"),1+(V470*0.005),1))))</f>
        <v/>
      </c>
      <c r="U470" t="inlineStr">
        <is>
          <t>DOME</t>
        </is>
      </c>
      <c r="V470" t="n">
        <v>0</v>
      </c>
      <c r="Y470">
        <f>B470 &amp; " vs. " &amp; H470</f>
        <v/>
      </c>
      <c r="Z470">
        <f>TRIM(LEFT(Y470, FIND("vs.", Y470)-1))</f>
        <v/>
      </c>
      <c r="AA470">
        <f>TRIM(MID(Y470, FIND(" vs. ", Y470)+4, 100))</f>
        <v/>
      </c>
      <c r="AB470" s="35">
        <f>IF(Q470 &gt; VALUE(AC470), "O " &amp; AC470, IF(Q470 &lt; VALUE(AC470), "U " &amp; AC470, AC470))</f>
        <v/>
      </c>
      <c r="AC470" s="15">
        <f>IF(OR(O470="-", P470="-"), "-", MROUND(O470 + P470, 0.5))</f>
        <v/>
      </c>
      <c r="AD470" s="15">
        <f>VALUE(TRIM(RIGHT(AF470, LEN(AF470) - FIND(" ", AF470))))</f>
        <v/>
      </c>
      <c r="AE470" s="15">
        <f>LEFT(AF470,FIND(" ",AF470)-1)</f>
        <v/>
      </c>
      <c r="AF470" s="15">
        <f>IF(OR(O470="-", P470="-"), "-",
IF(MROUND(ABS(O470-P470),0.5)&lt;=0.5,
IF(O470&gt;P470, B470 &amp; " ML", H470 &amp; " ML"),
IF(MROUND(ABS(O470-P470),0.5)=1,
IF(O470&gt;P470, H470 &amp; " +1.5", B470 &amp; " +1.5"),
IF(O470&gt;P470, B470 &amp; " -1.5", H470 &amp; " -1.5")
)
)
)</f>
        <v/>
      </c>
      <c r="AG470" s="15">
        <f>_xlfn.LET(
_xlpm.winA, O470^1.83 / (O470^1.83 + P470^1.83),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71">
      <c r="A471" s="81" t="n">
        <v>46133</v>
      </c>
      <c r="B471" t="inlineStr">
        <is>
          <t>PADRES</t>
        </is>
      </c>
      <c r="C471">
        <f>VLOOKUP(B471, 'MLB Data'!$B$5:$D$34, 3, FALSE)</f>
        <v/>
      </c>
      <c r="D471" t="inlineStr">
        <is>
          <t>RANDY VÁSQUEZ</t>
        </is>
      </c>
      <c r="E471" t="n">
        <v>5.36</v>
      </c>
      <c r="F471" s="17">
        <f>VLOOKUP(B471, 'MLB Data'!$F$2:$H$34, 3, FALSE)</f>
        <v/>
      </c>
      <c r="G471" s="17">
        <f>IF((E471*0.6+F471*0.4)&lt;2.5, 2.8, IF((E471*0.6+F471*0.4)&gt;5.5, 5.2, (E471*0.6+F471*0.4)))</f>
        <v/>
      </c>
      <c r="H471" t="inlineStr">
        <is>
          <t>ROCKIES</t>
        </is>
      </c>
      <c r="I471">
        <f>VLOOKUP(H471, 'MLB Data'!$B$5:$D$34, 3, FALSE)</f>
        <v/>
      </c>
      <c r="J471" t="inlineStr">
        <is>
          <t>TBD</t>
        </is>
      </c>
      <c r="L471" s="17">
        <f>VLOOKUP(H471, 'MLB Data'!$F$2:$H$34, 3, FALSE)</f>
        <v/>
      </c>
      <c r="M471" s="17">
        <f>IF((K471*0.6+L471*0.4)&lt;2.5, 2.8, IF((K471*0.6+L471*0.4)&gt;5.5, 5.2, (K471*0.6+L471*0.4)))</f>
        <v/>
      </c>
      <c r="O471" s="18">
        <f>(C471/100) * 4.1 * (M471 / 4.2) * T471</f>
        <v/>
      </c>
      <c r="P471" s="18">
        <f>(I471/100) * 4.05 * (G471 / 4.2) * T471</f>
        <v/>
      </c>
      <c r="Q471" s="18">
        <f>(O471+P471)</f>
        <v/>
      </c>
      <c r="S471" s="15">
        <f>H471</f>
        <v/>
      </c>
      <c r="T471" s="19">
        <f>IF(S471="ROCKIES",1.13,IF(S471="ATHLETICS",1.03,IF(S471="ROYALS",1.03,IF(S471="TWINS",1,IF(S471="TIGERS",1,IF(S471="MARLINS",1.01,IF(S471="REDS",1.05,IF(S471="RED SOX",1.04,IF(S471="YANKEES",1.02,IF(S471="DODGERS",0.99,IF(S471="PADRES",0.96,IF(S471="CUBS",0.98,IF(S471="GIANTS",0.97,IF(S471="MARINERS",0.94,IF(S471="RANGERS",1,IF(S471="ASTROS",0.99,IF(S471="BRAVES",1,IF(S471="METS",0.96,IF(S471="PHILLIES",1.02,IF(S471="BLUE JAYS",1.01,IF(S471="ORIOLES",0.99,IF(S471="RAYS",1.01,IF(S471="GUARDIANS",0.99,IF(S471="WHITE SOX",0.98,IF(S471="ANGELS",1.01,IF(S471="D-BACKS",1.01,IF(S471="BREWERS",0.99,IF(S471="CARDINALS",0.96,IF(S471="PIRATES",1.02,IF(S471="NATIONALS",1,1))))))))))))))))))))))))))))))*IF(W471="",1,(1+((W471-70)/10*0.035)))*IF(U471="DOME",1,IF(U471="IN",1-(V471*0.01),IF(U471="OUT",1+(V471*0.01),IF(OR(U471="L-R",U471="R-L"),1+(V471*0.005),1))))</f>
        <v/>
      </c>
      <c r="U471" t="inlineStr">
        <is>
          <t>OUT</t>
        </is>
      </c>
      <c r="V471" t="n">
        <v>13</v>
      </c>
      <c r="W471" t="n">
        <v>81</v>
      </c>
      <c r="Y471">
        <f>B471 &amp; " vs. " &amp; H471</f>
        <v/>
      </c>
      <c r="Z471">
        <f>TRIM(LEFT(Y471, FIND("vs.", Y471)-1))</f>
        <v/>
      </c>
      <c r="AA471">
        <f>TRIM(MID(Y471, FIND(" vs. ", Y471)+4, 100))</f>
        <v/>
      </c>
      <c r="AB471" s="35">
        <f>IF(Q471 &gt; VALUE(AC471), "O " &amp; AC471, IF(Q471 &lt; VALUE(AC471), "U " &amp; AC471, AC471))</f>
        <v/>
      </c>
      <c r="AC471" s="15">
        <f>IF(OR(O471="-", P471="-"), "-", MROUND(O471 + P471, 0.5))</f>
        <v/>
      </c>
      <c r="AD471" s="15">
        <f>VALUE(TRIM(RIGHT(AF471, LEN(AF471) - FIND(" ", AF471))))</f>
        <v/>
      </c>
      <c r="AE471" s="15">
        <f>LEFT(AF471,FIND(" ",AF471)-1)</f>
        <v/>
      </c>
      <c r="AF471" s="15">
        <f>IF(OR(O471="-", P471="-"), "-",
IF(MROUND(ABS(O471-P471),0.5)&lt;=0.5,
IF(O471&gt;P471, B471 &amp; " ML", H471 &amp; " ML"),
IF(MROUND(ABS(O471-P471),0.5)=1,
IF(O471&gt;P471, H471 &amp; " +1.5", B471 &amp; " +1.5"),
IF(O471&gt;P471, B471 &amp; " -1.5", H471 &amp; " -1.5")
)
)
)</f>
        <v/>
      </c>
      <c r="AG471" s="15">
        <f>_xlfn.LET(
_xlpm.winA, O471^1.83 / (O471^1.83 + P471^1.83),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72">
      <c r="A472" s="81" t="n">
        <v>46133</v>
      </c>
      <c r="B472" t="inlineStr">
        <is>
          <t>BLUE JAYS</t>
        </is>
      </c>
      <c r="C472">
        <f>VLOOKUP(B472, 'MLB Data'!$B$5:$D$34, 3, FALSE)</f>
        <v/>
      </c>
      <c r="D472" t="inlineStr">
        <is>
          <t>PATRICK CORBIN</t>
        </is>
      </c>
      <c r="E472" t="n">
        <v>4.23</v>
      </c>
      <c r="F472" s="17">
        <f>VLOOKUP(B472, 'MLB Data'!$F$2:$H$34, 3, FALSE)</f>
        <v/>
      </c>
      <c r="G472" s="17">
        <f>IF((E472*0.6+F472*0.4)&lt;2.5, 2.8, IF((E472*0.6+F472*0.4)&gt;5.5, 5.2, (E472*0.6+F472*0.4)))</f>
        <v/>
      </c>
      <c r="H472" t="inlineStr">
        <is>
          <t>ANGELS</t>
        </is>
      </c>
      <c r="I472">
        <f>VLOOKUP(H472, 'MLB Data'!$B$5:$D$34, 3, FALSE)</f>
        <v/>
      </c>
      <c r="J472" t="inlineStr">
        <is>
          <t>JACK KOCHANOWICZ</t>
        </is>
      </c>
      <c r="K472" t="n">
        <v>5.13</v>
      </c>
      <c r="L472" s="17">
        <f>VLOOKUP(H472, 'MLB Data'!$F$2:$H$34, 3, FALSE)</f>
        <v/>
      </c>
      <c r="M472" s="17">
        <f>IF((K472*0.6+L472*0.4)&lt;2.5, 2.8, IF((K472*0.6+L472*0.4)&gt;5.5, 5.2, (K472*0.6+L472*0.4)))</f>
        <v/>
      </c>
      <c r="O472" s="18">
        <f>(C472/100) * 4.1 * (M472 / 4.2) * T472</f>
        <v/>
      </c>
      <c r="P472" s="18">
        <f>(I472/100) * 4.05 * (G472 / 4.2) * T472</f>
        <v/>
      </c>
      <c r="Q472" s="18">
        <f>(O472+P472)</f>
        <v/>
      </c>
      <c r="S472" s="15">
        <f>H472</f>
        <v/>
      </c>
      <c r="T472" s="19">
        <f>IF(S472="ROCKIES",1.13,IF(S472="ATHLETICS",1.03,IF(S472="ROYALS",1.03,IF(S472="TWINS",1,IF(S472="TIGERS",1,IF(S472="MARLINS",1.01,IF(S472="REDS",1.05,IF(S472="RED SOX",1.04,IF(S472="YANKEES",1.02,IF(S472="DODGERS",0.99,IF(S472="PADRES",0.96,IF(S472="CUBS",0.98,IF(S472="GIANTS",0.97,IF(S472="MARINERS",0.94,IF(S472="RANGERS",1,IF(S472="ASTROS",0.99,IF(S472="BRAVES",1,IF(S472="METS",0.96,IF(S472="PHILLIES",1.02,IF(S472="BLUE JAYS",1.01,IF(S472="ORIOLES",0.99,IF(S472="RAYS",1.01,IF(S472="GUARDIANS",0.99,IF(S472="WHITE SOX",0.98,IF(S472="ANGELS",1.01,IF(S472="D-BACKS",1.01,IF(S472="BREWERS",0.99,IF(S472="CARDINALS",0.96,IF(S472="PIRATES",1.02,IF(S472="NATIONALS",1,1))))))))))))))))))))))))))))))*IF(W472="",1,(1+((W472-70)/10*0.035)))*IF(U472="DOME",1,IF(U472="IN",1-(V472*0.01),IF(U472="OUT",1+(V472*0.01),IF(OR(U472="L-R",U472="R-L"),1+(V472*0.005),1))))</f>
        <v/>
      </c>
      <c r="U472" t="inlineStr">
        <is>
          <t>CROSS</t>
        </is>
      </c>
      <c r="V472" t="n">
        <v>11</v>
      </c>
      <c r="W472" t="n">
        <v>65</v>
      </c>
      <c r="Y472">
        <f>B472 &amp; " vs. " &amp; H472</f>
        <v/>
      </c>
      <c r="Z472">
        <f>TRIM(LEFT(Y472, FIND("vs.", Y472)-1))</f>
        <v/>
      </c>
      <c r="AA472">
        <f>TRIM(MID(Y472, FIND(" vs. ", Y472)+4, 100))</f>
        <v/>
      </c>
      <c r="AB472" s="35">
        <f>IF(Q472 &gt; VALUE(AC472), "O " &amp; AC472, IF(Q472 &lt; VALUE(AC472), "U " &amp; AC472, AC472))</f>
        <v/>
      </c>
      <c r="AC472" s="15">
        <f>IF(OR(O472="-", P472="-"), "-", MROUND(O472 + P472, 0.5))</f>
        <v/>
      </c>
      <c r="AD472" s="15">
        <f>VALUE(TRIM(RIGHT(AF472, LEN(AF472) - FIND(" ", AF472))))</f>
        <v/>
      </c>
      <c r="AE472" s="15">
        <f>LEFT(AF472,FIND(" ",AF472)-1)</f>
        <v/>
      </c>
      <c r="AF472" s="15">
        <f>IF(OR(O472="-", P472="-"), "-",
IF(MROUND(ABS(O472-P472),0.5)&lt;=0.5,
IF(O472&gt;P472, B472 &amp; " ML", H472 &amp; " ML"),
IF(MROUND(ABS(O472-P472),0.5)=1,
IF(O472&gt;P472, H472 &amp; " +1.5", B472 &amp; " +1.5"),
IF(O472&gt;P472, B472 &amp; " -1.5", H472 &amp; " -1.5")
)
)
)</f>
        <v/>
      </c>
      <c r="AG472" s="15">
        <f>_xlfn.LET(
_xlpm.winA, O472^1.83 / (O472^1.83 + P472^1.83),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73">
      <c r="A473" s="81" t="n">
        <v>46133</v>
      </c>
      <c r="B473" t="inlineStr">
        <is>
          <t>ATHLETICS</t>
        </is>
      </c>
      <c r="C473">
        <f>VLOOKUP(B473, 'MLB Data'!$B$5:$D$34, 3, FALSE)</f>
        <v/>
      </c>
      <c r="D473" t="inlineStr">
        <is>
          <t>JACOB LOPEZ</t>
        </is>
      </c>
      <c r="E473" t="n">
        <v>4.39</v>
      </c>
      <c r="F473" s="17">
        <f>VLOOKUP(B473, 'MLB Data'!$F$2:$H$34, 3, FALSE)</f>
        <v/>
      </c>
      <c r="G473" s="17">
        <f>IF((E473*0.6+F473*0.4)&lt;2.5, 2.8, IF((E473*0.6+F473*0.4)&gt;5.5, 5.2, (E473*0.6+F473*0.4)))</f>
        <v/>
      </c>
      <c r="H473" t="inlineStr">
        <is>
          <t>MARINERS</t>
        </is>
      </c>
      <c r="I473">
        <f>VLOOKUP(H473, 'MLB Data'!$B$5:$D$34, 3, FALSE)</f>
        <v/>
      </c>
      <c r="J473" t="inlineStr">
        <is>
          <t>LUIS CASTILLO</t>
        </is>
      </c>
      <c r="K473" t="n">
        <v>4.11</v>
      </c>
      <c r="L473" s="17">
        <f>VLOOKUP(H473, 'MLB Data'!$F$2:$H$34, 3, FALSE)</f>
        <v/>
      </c>
      <c r="M473" s="17">
        <f>IF((K473*0.6+L473*0.4)&lt;2.5, 2.8, IF((K473*0.6+L473*0.4)&gt;5.5, 5.2, (K473*0.6+L473*0.4)))</f>
        <v/>
      </c>
      <c r="O473" s="18">
        <f>(C473/100) * 4.1 * (M473 / 4.2) * T473</f>
        <v/>
      </c>
      <c r="P473" s="18">
        <f>(I473/100) * 4.05 * (G473 / 4.2) * T473</f>
        <v/>
      </c>
      <c r="Q473" s="18">
        <f>(O473+P473)</f>
        <v/>
      </c>
      <c r="S473" s="15">
        <f>H473</f>
        <v/>
      </c>
      <c r="T473" s="19">
        <f>IF(S473="ROCKIES",1.13,IF(S473="ATHLETICS",1.03,IF(S473="ROYALS",1.03,IF(S473="TWINS",1,IF(S473="TIGERS",1,IF(S473="MARLINS",1.01,IF(S473="REDS",1.05,IF(S473="RED SOX",1.04,IF(S473="YANKEES",1.02,IF(S473="DODGERS",0.99,IF(S473="PADRES",0.96,IF(S473="CUBS",0.98,IF(S473="GIANTS",0.97,IF(S473="MARINERS",0.94,IF(S473="RANGERS",1,IF(S473="ASTROS",0.99,IF(S473="BRAVES",1,IF(S473="METS",0.96,IF(S473="PHILLIES",1.02,IF(S473="BLUE JAYS",1.01,IF(S473="ORIOLES",0.99,IF(S473="RAYS",1.01,IF(S473="GUARDIANS",0.99,IF(S473="WHITE SOX",0.98,IF(S473="ANGELS",1.01,IF(S473="D-BACKS",1.01,IF(S473="BREWERS",0.99,IF(S473="CARDINALS",0.96,IF(S473="PIRATES",1.02,IF(S473="NATIONALS",1,1))))))))))))))))))))))))))))))*IF(W473="",1,(1+((W473-70)/10*0.035)))*IF(U473="DOME",1,IF(U473="IN",1-(V473*0.01),IF(U473="OUT",1+(V473*0.01),IF(OR(U473="L-R",U473="R-L"),1+(V473*0.005),1))))</f>
        <v/>
      </c>
      <c r="U473" t="inlineStr">
        <is>
          <t>IN</t>
        </is>
      </c>
      <c r="V473" t="n">
        <v>3</v>
      </c>
      <c r="W473" t="n">
        <v>57</v>
      </c>
      <c r="Y473">
        <f>B473 &amp; " vs. " &amp; H473</f>
        <v/>
      </c>
      <c r="Z473">
        <f>TRIM(LEFT(Y473, FIND("vs.", Y473)-1))</f>
        <v/>
      </c>
      <c r="AA473">
        <f>TRIM(MID(Y473, FIND(" vs. ", Y473)+4, 100))</f>
        <v/>
      </c>
      <c r="AB473" s="35">
        <f>IF(Q473 &gt; VALUE(AC473), "O " &amp; AC473, IF(Q473 &lt; VALUE(AC473), "U " &amp; AC473, AC473))</f>
        <v/>
      </c>
      <c r="AC473" s="15">
        <f>IF(OR(O473="-", P473="-"), "-", MROUND(O473 + P473, 0.5))</f>
        <v/>
      </c>
      <c r="AD473" s="15">
        <f>VALUE(TRIM(RIGHT(AF473, LEN(AF473) - FIND(" ", AF473))))</f>
        <v/>
      </c>
      <c r="AE473" s="15">
        <f>LEFT(AF473,FIND(" ",AF473)-1)</f>
        <v/>
      </c>
      <c r="AF473" s="15">
        <f>IF(OR(O473="-", P473="-"), "-",
IF(MROUND(ABS(O473-P473),0.5)&lt;=0.5,
IF(O473&gt;P473, B473 &amp; " ML", H473 &amp; " ML"),
IF(MROUND(ABS(O473-P473),0.5)=1,
IF(O473&gt;P473, H473 &amp; " +1.5", B473 &amp; " +1.5"),
IF(O473&gt;P473, B473 &amp; " -1.5", H473 &amp; " -1.5")
)
)
)</f>
        <v/>
      </c>
      <c r="AG473" s="15">
        <f>_xlfn.LET(
_xlpm.winA, O473^1.83 / (O473^1.83 + P473^1.83),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74">
      <c r="A474" s="81" t="n">
        <v>46133</v>
      </c>
      <c r="B474" t="inlineStr">
        <is>
          <t>WHITE SOX</t>
        </is>
      </c>
      <c r="C474">
        <f>VLOOKUP(B474, 'MLB Data'!$B$5:$D$34, 3, FALSE)</f>
        <v/>
      </c>
      <c r="D474" t="inlineStr">
        <is>
          <t>SEAN BURKE</t>
        </is>
      </c>
      <c r="E474" t="n">
        <v>4.98</v>
      </c>
      <c r="F474" s="17">
        <f>VLOOKUP(B474, 'MLB Data'!$F$2:$H$34, 3, FALSE)</f>
        <v/>
      </c>
      <c r="G474" s="17">
        <f>IF((E474*0.6+F474*0.4)&lt;2.5, 2.8, IF((E474*0.6+F474*0.4)&gt;5.5, 5.2, (E474*0.6+F474*0.4)))</f>
        <v/>
      </c>
      <c r="H474" t="inlineStr">
        <is>
          <t>D-BACKS</t>
        </is>
      </c>
      <c r="I474">
        <f>VLOOKUP(H474, 'MLB Data'!$B$5:$D$34, 3, FALSE)</f>
        <v/>
      </c>
      <c r="J474" t="inlineStr">
        <is>
          <t>MERRILL KELLY</t>
        </is>
      </c>
      <c r="K474" t="n">
        <v>4.08</v>
      </c>
      <c r="L474" s="17">
        <f>VLOOKUP(H474, 'MLB Data'!$F$2:$H$34, 3, FALSE)</f>
        <v/>
      </c>
      <c r="M474" s="17">
        <f>IF((K474*0.6+L474*0.4)&lt;2.5, 2.8, IF((K474*0.6+L474*0.4)&gt;5.5, 5.2, (K474*0.6+L474*0.4)))</f>
        <v/>
      </c>
      <c r="O474" s="18">
        <f>(C474/100) * 4.1 * (M474 / 4.2) * T474</f>
        <v/>
      </c>
      <c r="P474" s="18">
        <f>(I474/100) * 4.05 * (G474 / 4.2) * T474</f>
        <v/>
      </c>
      <c r="Q474" s="18">
        <f>(O474+P474)</f>
        <v/>
      </c>
      <c r="S474" s="15">
        <f>H474</f>
        <v/>
      </c>
      <c r="T474" s="19">
        <f>IF(S474="ROCKIES",1.13,IF(S474="ATHLETICS",1.03,IF(S474="ROYALS",1.03,IF(S474="TWINS",1,IF(S474="TIGERS",1,IF(S474="MARLINS",1.01,IF(S474="REDS",1.05,IF(S474="RED SOX",1.04,IF(S474="YANKEES",1.02,IF(S474="DODGERS",0.99,IF(S474="PADRES",0.96,IF(S474="CUBS",0.98,IF(S474="GIANTS",0.97,IF(S474="MARINERS",0.94,IF(S474="RANGERS",1,IF(S474="ASTROS",0.99,IF(S474="BRAVES",1,IF(S474="METS",0.96,IF(S474="PHILLIES",1.02,IF(S474="BLUE JAYS",1.01,IF(S474="ORIOLES",0.99,IF(S474="RAYS",1.01,IF(S474="GUARDIANS",0.99,IF(S474="WHITE SOX",0.98,IF(S474="ANGELS",1.01,IF(S474="D-BACKS",1.01,IF(S474="BREWERS",0.99,IF(S474="CARDINALS",0.96,IF(S474="PIRATES",1.02,IF(S474="NATIONALS",1,1))))))))))))))))))))))))))))))*IF(W474="",1,(1+((W474-70)/10*0.035)))*IF(U474="DOME",1,IF(U474="IN",1-(V474*0.01),IF(U474="OUT",1+(V474*0.01),IF(OR(U474="L-R",U474="R-L"),1+(V474*0.005),1))))</f>
        <v/>
      </c>
      <c r="U474" t="inlineStr">
        <is>
          <t>DOME</t>
        </is>
      </c>
      <c r="V474" t="n">
        <v>0</v>
      </c>
      <c r="Y474">
        <f>B474 &amp; " vs. " &amp; H474</f>
        <v/>
      </c>
      <c r="Z474">
        <f>TRIM(LEFT(Y474, FIND("vs.", Y474)-1))</f>
        <v/>
      </c>
      <c r="AA474">
        <f>TRIM(MID(Y474, FIND(" vs. ", Y474)+4, 100))</f>
        <v/>
      </c>
      <c r="AB474" s="35">
        <f>IF(Q474 &gt; VALUE(AC474), "O " &amp; AC474, IF(Q474 &lt; VALUE(AC474), "U " &amp; AC474, AC474))</f>
        <v/>
      </c>
      <c r="AC474" s="15">
        <f>IF(OR(O474="-", P474="-"), "-", MROUND(O474 + P474, 0.5))</f>
        <v/>
      </c>
      <c r="AD474" s="15">
        <f>VALUE(TRIM(RIGHT(AF474, LEN(AF474) - FIND(" ", AF474))))</f>
        <v/>
      </c>
      <c r="AE474" s="15">
        <f>LEFT(AF474,FIND(" ",AF474)-1)</f>
        <v/>
      </c>
      <c r="AF474" s="15">
        <f>IF(OR(O474="-", P474="-"), "-",
IF(MROUND(ABS(O474-P474),0.5)&lt;=0.5,
IF(O474&gt;P474, B474 &amp; " ML", H474 &amp; " ML"),
IF(MROUND(ABS(O474-P474),0.5)=1,
IF(O474&gt;P474, H474 &amp; " +1.5", B474 &amp; " +1.5"),
IF(O474&gt;P474, B474 &amp; " -1.5", H474 &amp; " -1.5")
)
)
)</f>
        <v/>
      </c>
      <c r="AG474" s="15">
        <f>_xlfn.LET(
_xlpm.winA, O474^1.83 / (O474^1.83 + P474^1.83),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75">
      <c r="A475" s="81" t="n">
        <v>46133</v>
      </c>
      <c r="B475" t="inlineStr">
        <is>
          <t>DODGERS</t>
        </is>
      </c>
      <c r="C475">
        <f>VLOOKUP(B475, 'MLB Data'!$B$5:$D$34, 3, FALSE)</f>
        <v/>
      </c>
      <c r="D475" t="inlineStr">
        <is>
          <t>YOSHINOBU YAMAMOTO</t>
        </is>
      </c>
      <c r="E475" t="n">
        <v>3.11</v>
      </c>
      <c r="F475" s="17">
        <f>VLOOKUP(B475, 'MLB Data'!$F$2:$H$34, 3, FALSE)</f>
        <v/>
      </c>
      <c r="G475" s="17">
        <f>IF((E475*0.6+F475*0.4)&lt;2.5, 2.8, IF((E475*0.6+F475*0.4)&gt;5.5, 5.2, (E475*0.6+F475*0.4)))</f>
        <v/>
      </c>
      <c r="H475" t="inlineStr">
        <is>
          <t>GIANTS</t>
        </is>
      </c>
      <c r="I475">
        <f>VLOOKUP(H475, 'MLB Data'!$B$5:$D$34, 3, FALSE)</f>
        <v/>
      </c>
      <c r="J475" t="inlineStr">
        <is>
          <t>LANDEN ROUPP</t>
        </is>
      </c>
      <c r="K475" t="n">
        <v>3.98</v>
      </c>
      <c r="L475" s="17">
        <f>VLOOKUP(H475, 'MLB Data'!$F$2:$H$34, 3, FALSE)</f>
        <v/>
      </c>
      <c r="M475" s="17">
        <f>IF((K475*0.6+L475*0.4)&lt;2.5, 2.8, IF((K475*0.6+L475*0.4)&gt;5.5, 5.2, (K475*0.6+L475*0.4)))</f>
        <v/>
      </c>
      <c r="O475" s="18">
        <f>(C475/100) * 4.1 * (M475 / 4.2) * T475</f>
        <v/>
      </c>
      <c r="P475" s="18">
        <f>(I475/100) * 4.05 * (G475 / 4.2) * T475</f>
        <v/>
      </c>
      <c r="Q475" s="18">
        <f>(O475+P475)</f>
        <v/>
      </c>
      <c r="S475" s="15">
        <f>H475</f>
        <v/>
      </c>
      <c r="T475" s="19">
        <f>IF(S475="ROCKIES",1.13,IF(S475="ATHLETICS",1.03,IF(S475="ROYALS",1.03,IF(S475="TWINS",1,IF(S475="TIGERS",1,IF(S475="MARLINS",1.01,IF(S475="REDS",1.05,IF(S475="RED SOX",1.04,IF(S475="YANKEES",1.02,IF(S475="DODGERS",0.99,IF(S475="PADRES",0.96,IF(S475="CUBS",0.98,IF(S475="GIANTS",0.97,IF(S475="MARINERS",0.94,IF(S475="RANGERS",1,IF(S475="ASTROS",0.99,IF(S475="BRAVES",1,IF(S475="METS",0.96,IF(S475="PHILLIES",1.02,IF(S475="BLUE JAYS",1.01,IF(S475="ORIOLES",0.99,IF(S475="RAYS",1.01,IF(S475="GUARDIANS",0.99,IF(S475="WHITE SOX",0.98,IF(S475="ANGELS",1.01,IF(S475="D-BACKS",1.01,IF(S475="BREWERS",0.99,IF(S475="CARDINALS",0.96,IF(S475="PIRATES",1.02,IF(S475="NATIONALS",1,1))))))))))))))))))))))))))))))*IF(W475="",1,(1+((W475-70)/10*0.035)))*IF(U475="DOME",1,IF(U475="IN",1-(V475*0.01),IF(U475="OUT",1+(V475*0.01),IF(OR(U475="L-R",U475="R-L"),1+(V475*0.005),1))))</f>
        <v/>
      </c>
      <c r="U475" t="inlineStr">
        <is>
          <t>OUT</t>
        </is>
      </c>
      <c r="V475" t="n">
        <v>4</v>
      </c>
      <c r="W475" t="n">
        <v>53</v>
      </c>
      <c r="Y475">
        <f>B475 &amp; " vs. " &amp; H475</f>
        <v/>
      </c>
      <c r="Z475">
        <f>TRIM(LEFT(Y475, FIND("vs.", Y475)-1))</f>
        <v/>
      </c>
      <c r="AA475">
        <f>TRIM(MID(Y475, FIND(" vs. ", Y475)+4, 100))</f>
        <v/>
      </c>
      <c r="AB475" s="35">
        <f>IF(Q475 &gt; VALUE(AC475), "O " &amp; AC475, IF(Q475 &lt; VALUE(AC475), "U " &amp; AC475, AC475))</f>
        <v/>
      </c>
      <c r="AC475" s="15">
        <f>IF(OR(O475="-", P475="-"), "-", MROUND(O475 + P475, 0.5))</f>
        <v/>
      </c>
      <c r="AD475" s="15">
        <f>VALUE(TRIM(RIGHT(AF475, LEN(AF475) - FIND(" ", AF475))))</f>
        <v/>
      </c>
      <c r="AE475" s="15">
        <f>LEFT(AF475,FIND(" ",AF475)-1)</f>
        <v/>
      </c>
      <c r="AF475" s="15">
        <f>IF(OR(O475="-", P475="-"), "-",
IF(MROUND(ABS(O475-P475),0.5)&lt;=0.5,
IF(O475&gt;P475, B475 &amp; " ML", H475 &amp; " ML"),
IF(MROUND(ABS(O475-P475),0.5)=1,
IF(O475&gt;P475, H475 &amp; " +1.5", B475 &amp; " +1.5"),
IF(O475&gt;P475, B475 &amp; " -1.5", H475 &amp; " -1.5")
)
)
)</f>
        <v/>
      </c>
      <c r="AG475" s="15">
        <f>_xlfn.LET(
_xlpm.winA, O475^1.83 / (O475^1.83 + P475^1.83),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76">
      <c r="A476" s="81" t="n">
        <v>46134</v>
      </c>
      <c r="B476" t="inlineStr">
        <is>
          <t>BREWERS</t>
        </is>
      </c>
      <c r="C476">
        <f>VLOOKUP(B476, 'MLB Data'!$B$5:$D$34, 3, FALSE)</f>
        <v/>
      </c>
      <c r="D476" t="inlineStr">
        <is>
          <t>DL HALL</t>
        </is>
      </c>
      <c r="E476" t="n">
        <v>4.34</v>
      </c>
      <c r="F476" s="17">
        <f>VLOOKUP(B476, 'MLB Data'!$F$2:$H$34, 3, FALSE)</f>
        <v/>
      </c>
      <c r="G476" s="17">
        <f>IF((E476*0.6+F476*0.4)&lt;2.5, 2.8, IF((E476*0.6+F476*0.4)&gt;5.5, 5.2, (E476*0.6+F476*0.4)))</f>
        <v/>
      </c>
      <c r="H476" t="inlineStr">
        <is>
          <t>TIGERS</t>
        </is>
      </c>
      <c r="I476">
        <f>VLOOKUP(H476, 'MLB Data'!$B$5:$D$34, 3, FALSE)</f>
        <v/>
      </c>
      <c r="J476" t="inlineStr">
        <is>
          <t>CASEY MIZE</t>
        </is>
      </c>
      <c r="K476" t="n">
        <v>3.94</v>
      </c>
      <c r="L476" s="17">
        <f>VLOOKUP(H476, 'MLB Data'!$F$2:$H$34, 3, FALSE)</f>
        <v/>
      </c>
      <c r="M476" s="17">
        <f>IF((K476*0.6+L476*0.4)&lt;2.5, 2.8, IF((K476*0.6+L476*0.4)&gt;5.5, 5.2, (K476*0.6+L476*0.4)))</f>
        <v/>
      </c>
      <c r="O476" s="18">
        <f>(C476/100) * 4.1 * (M476 / 4.2) * T476</f>
        <v/>
      </c>
      <c r="P476" s="18">
        <f>(I476/100) * 4.05 * (G476 / 4.2) * T476</f>
        <v/>
      </c>
      <c r="Q476" s="18">
        <f>(O476+P476)</f>
        <v/>
      </c>
      <c r="S476" s="15">
        <f>H476</f>
        <v/>
      </c>
      <c r="T476" s="19">
        <f>IF(S476="ROCKIES",1.13,IF(S476="ATHLETICS",1.03,IF(S476="ROYALS",1.03,IF(S476="TWINS",1,IF(S476="TIGERS",1,IF(S476="MARLINS",1.01,IF(S476="REDS",1.05,IF(S476="RED SOX",1.04,IF(S476="YANKEES",1.02,IF(S476="DODGERS",0.99,IF(S476="PADRES",0.96,IF(S476="CUBS",0.98,IF(S476="GIANTS",0.97,IF(S476="MARINERS",0.94,IF(S476="RANGERS",1,IF(S476="ASTROS",0.99,IF(S476="BRAVES",1,IF(S476="METS",0.96,IF(S476="PHILLIES",1.02,IF(S476="BLUE JAYS",1.01,IF(S476="ORIOLES",0.99,IF(S476="RAYS",1.01,IF(S476="GUARDIANS",0.99,IF(S476="WHITE SOX",0.98,IF(S476="ANGELS",1.01,IF(S476="D-BACKS",1.01,IF(S476="BREWERS",0.99,IF(S476="CARDINALS",0.96,IF(S476="PIRATES",1.02,IF(S476="NATIONALS",1,1))))))))))))))))))))))))))))))*IF(W476="",1,(1+((W476-70)/10*0.035)))*IF(U476="DOME",1,IF(U476="IN",1-(V476*0.01),IF(U476="OUT",1+(V476*0.01),IF(OR(U476="L-R",U476="R-L"),1+(V476*0.005),1))))</f>
        <v/>
      </c>
      <c r="U476" t="inlineStr">
        <is>
          <t>CROSS</t>
        </is>
      </c>
      <c r="V476" t="n">
        <v>9</v>
      </c>
      <c r="W476" t="n">
        <v>70</v>
      </c>
      <c r="Y476">
        <f>B476 &amp; " vs. " &amp; H476</f>
        <v/>
      </c>
      <c r="Z476">
        <f>TRIM(LEFT(Y476, FIND("vs.", Y476)-1))</f>
        <v/>
      </c>
      <c r="AA476">
        <f>TRIM(MID(Y476, FIND(" vs. ", Y476)+4, 100))</f>
        <v/>
      </c>
      <c r="AB476" s="35">
        <f>IF(Q476 &gt; VALUE(AC476), "O " &amp; AC476, IF(Q476 &lt; VALUE(AC476), "U " &amp; AC476, AC476))</f>
        <v/>
      </c>
      <c r="AC476" s="15">
        <f>IF(OR(O476="-", P476="-"), "-", MROUND(O476 + P476, 0.5))</f>
        <v/>
      </c>
      <c r="AD476" s="15">
        <f>VALUE(TRIM(RIGHT(AF476, LEN(AF476) - FIND(" ", AF476))))</f>
        <v/>
      </c>
      <c r="AE476" s="15">
        <f>LEFT(AF476,FIND(" ",AF476)-1)</f>
        <v/>
      </c>
      <c r="AF476" s="15">
        <f>IF(OR(O476="-", P476="-"), "-",
IF(MROUND(ABS(O476-P476),0.5)&lt;=0.5,
IF(O476&gt;P476, B476 &amp; " ML", H476 &amp; " ML"),
IF(MROUND(ABS(O476-P476),0.5)=1,
IF(O476&gt;P476, H476 &amp; " +1.5", B476 &amp; " +1.5"),
IF(O476&gt;P476, B476 &amp; " -1.5", H476 &amp; " -1.5")
)
)
)</f>
        <v/>
      </c>
      <c r="AG476" s="15">
        <f>_xlfn.LET(
_xlpm.winA, O476^1.83 / (O476^1.83 + P476^1.83),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77">
      <c r="A477" s="81" t="n">
        <v>46134</v>
      </c>
      <c r="B477" t="inlineStr">
        <is>
          <t>BRAVES</t>
        </is>
      </c>
      <c r="C477">
        <f>VLOOKUP(B477, 'MLB Data'!$B$5:$D$34, 3, FALSE)</f>
        <v/>
      </c>
      <c r="D477" t="inlineStr">
        <is>
          <t>DIDIER FUENTES</t>
        </is>
      </c>
      <c r="E477" t="n">
        <v>5.74</v>
      </c>
      <c r="F477" s="17">
        <f>VLOOKUP(B477, 'MLB Data'!$F$2:$H$34, 3, FALSE)</f>
        <v/>
      </c>
      <c r="G477" s="17">
        <f>IF((E477*0.6+F477*0.4)&lt;2.5, 2.8, IF((E477*0.6+F477*0.4)&gt;5.5, 5.2, (E477*0.6+F477*0.4)))</f>
        <v/>
      </c>
      <c r="H477" t="inlineStr">
        <is>
          <t>NATIONALS</t>
        </is>
      </c>
      <c r="I477">
        <f>VLOOKUP(H477, 'MLB Data'!$B$5:$D$34, 3, FALSE)</f>
        <v/>
      </c>
      <c r="J477" t="inlineStr">
        <is>
          <t>ZACK LITTELL</t>
        </is>
      </c>
      <c r="K477" t="n">
        <v>4.26</v>
      </c>
      <c r="L477" s="17">
        <f>VLOOKUP(H477, 'MLB Data'!$F$2:$H$34, 3, FALSE)</f>
        <v/>
      </c>
      <c r="M477" s="17">
        <f>IF((K477*0.6+L477*0.4)&lt;2.5, 2.8, IF((K477*0.6+L477*0.4)&gt;5.5, 5.2, (K477*0.6+L477*0.4)))</f>
        <v/>
      </c>
      <c r="O477" s="18">
        <f>(C477/100) * 4.1 * (M477 / 4.2) * T477</f>
        <v/>
      </c>
      <c r="P477" s="18">
        <f>(I477/100) * 4.05 * (G477 / 4.2) * T477</f>
        <v/>
      </c>
      <c r="Q477" s="18">
        <f>(O477+P477)</f>
        <v/>
      </c>
      <c r="S477" s="15">
        <f>H477</f>
        <v/>
      </c>
      <c r="T477" s="19">
        <f>IF(S477="ROCKIES",1.13,IF(S477="ATHLETICS",1.03,IF(S477="ROYALS",1.03,IF(S477="TWINS",1,IF(S477="TIGERS",1,IF(S477="MARLINS",1.01,IF(S477="REDS",1.05,IF(S477="RED SOX",1.04,IF(S477="YANKEES",1.02,IF(S477="DODGERS",0.99,IF(S477="PADRES",0.96,IF(S477="CUBS",0.98,IF(S477="GIANTS",0.97,IF(S477="MARINERS",0.94,IF(S477="RANGERS",1,IF(S477="ASTROS",0.99,IF(S477="BRAVES",1,IF(S477="METS",0.96,IF(S477="PHILLIES",1.02,IF(S477="BLUE JAYS",1.01,IF(S477="ORIOLES",0.99,IF(S477="RAYS",1.01,IF(S477="GUARDIANS",0.99,IF(S477="WHITE SOX",0.98,IF(S477="ANGELS",1.01,IF(S477="D-BACKS",1.01,IF(S477="BREWERS",0.99,IF(S477="CARDINALS",0.96,IF(S477="PIRATES",1.02,IF(S477="NATIONALS",1,1))))))))))))))))))))))))))))))*IF(W477="",1,(1+((W477-70)/10*0.035)))*IF(U477="DOME",1,IF(U477="IN",1-(V477*0.01),IF(U477="OUT",1+(V477*0.01),IF(OR(U477="L-R",U477="R-L"),1+(V477*0.005),1))))</f>
        <v/>
      </c>
      <c r="U477" t="inlineStr">
        <is>
          <t>OUT</t>
        </is>
      </c>
      <c r="V477" t="n">
        <v>10</v>
      </c>
      <c r="W477" t="n">
        <v>76</v>
      </c>
      <c r="Y477">
        <f>B477 &amp; " vs. " &amp; H477</f>
        <v/>
      </c>
      <c r="Z477">
        <f>TRIM(LEFT(Y477, FIND("vs.", Y477)-1))</f>
        <v/>
      </c>
      <c r="AA477">
        <f>TRIM(MID(Y477, FIND(" vs. ", Y477)+4, 100))</f>
        <v/>
      </c>
      <c r="AB477" s="35">
        <f>IF(Q477 &gt; VALUE(AC477), "O " &amp; AC477, IF(Q477 &lt; VALUE(AC477), "U " &amp; AC477, AC477))</f>
        <v/>
      </c>
      <c r="AC477" s="15">
        <f>IF(OR(O477="-", P477="-"), "-", MROUND(O477 + P477, 0.5))</f>
        <v/>
      </c>
      <c r="AD477" s="15">
        <f>VALUE(TRIM(RIGHT(AF477, LEN(AF477) - FIND(" ", AF477))))</f>
        <v/>
      </c>
      <c r="AE477" s="15">
        <f>LEFT(AF477,FIND(" ",AF477)-1)</f>
        <v/>
      </c>
      <c r="AF477" s="15">
        <f>IF(OR(O477="-", P477="-"), "-",
IF(MROUND(ABS(O477-P477),0.5)&lt;=0.5,
IF(O477&gt;P477, B477 &amp; " ML", H477 &amp; " ML"),
IF(MROUND(ABS(O477-P477),0.5)=1,
IF(O477&gt;P477, H477 &amp; " +1.5", B477 &amp; " +1.5"),
IF(O477&gt;P477, B477 &amp; " -1.5", H477 &amp; " -1.5")
)
)
)</f>
        <v/>
      </c>
      <c r="AG477" s="15">
        <f>_xlfn.LET(
_xlpm.winA, O477^1.83 / (O477^1.83 + P477^1.83),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78">
      <c r="A478" s="81" t="n">
        <v>46134</v>
      </c>
      <c r="B478" t="inlineStr">
        <is>
          <t>YANKEES</t>
        </is>
      </c>
      <c r="C478">
        <f>VLOOKUP(B478, 'MLB Data'!$B$5:$D$34, 3, FALSE)</f>
        <v/>
      </c>
      <c r="D478" t="inlineStr">
        <is>
          <t>MAX FRIED</t>
        </is>
      </c>
      <c r="E478" t="n">
        <v>3.49</v>
      </c>
      <c r="F478" s="17">
        <f>VLOOKUP(B478, 'MLB Data'!$F$2:$H$34, 3, FALSE)</f>
        <v/>
      </c>
      <c r="G478" s="17">
        <f>IF((E478*0.6+F478*0.4)&lt;2.5, 2.8, IF((E478*0.6+F478*0.4)&gt;5.5, 5.2, (E478*0.6+F478*0.4)))</f>
        <v/>
      </c>
      <c r="H478" t="inlineStr">
        <is>
          <t>RED SOX</t>
        </is>
      </c>
      <c r="I478">
        <f>VLOOKUP(H478, 'MLB Data'!$B$5:$D$34, 3, FALSE)</f>
        <v/>
      </c>
      <c r="J478" t="inlineStr">
        <is>
          <t>RANGER SUAREZ</t>
        </is>
      </c>
      <c r="K478" t="n">
        <v>3.62</v>
      </c>
      <c r="L478" s="17">
        <f>VLOOKUP(H478, 'MLB Data'!$F$2:$H$34, 3, FALSE)</f>
        <v/>
      </c>
      <c r="M478" s="17">
        <f>IF((K478*0.6+L478*0.4)&lt;2.5, 2.8, IF((K478*0.6+L478*0.4)&gt;5.5, 5.2, (K478*0.6+L478*0.4)))</f>
        <v/>
      </c>
      <c r="O478" s="18">
        <f>(C478/100) * 4.1 * (M478 / 4.2) * T478</f>
        <v/>
      </c>
      <c r="P478" s="18">
        <f>(I478/100) * 4.05 * (G478 / 4.2) * T478</f>
        <v/>
      </c>
      <c r="Q478" s="18">
        <f>(O478+P478)</f>
        <v/>
      </c>
      <c r="S478" s="15">
        <f>H478</f>
        <v/>
      </c>
      <c r="T478" s="19">
        <f>IF(S478="ROCKIES",1.13,IF(S478="ATHLETICS",1.03,IF(S478="ROYALS",1.03,IF(S478="TWINS",1,IF(S478="TIGERS",1,IF(S478="MARLINS",1.01,IF(S478="REDS",1.05,IF(S478="RED SOX",1.04,IF(S478="YANKEES",1.02,IF(S478="DODGERS",0.99,IF(S478="PADRES",0.96,IF(S478="CUBS",0.98,IF(S478="GIANTS",0.97,IF(S478="MARINERS",0.94,IF(S478="RANGERS",1,IF(S478="ASTROS",0.99,IF(S478="BRAVES",1,IF(S478="METS",0.96,IF(S478="PHILLIES",1.02,IF(S478="BLUE JAYS",1.01,IF(S478="ORIOLES",0.99,IF(S478="RAYS",1.01,IF(S478="GUARDIANS",0.99,IF(S478="WHITE SOX",0.98,IF(S478="ANGELS",1.01,IF(S478="D-BACKS",1.01,IF(S478="BREWERS",0.99,IF(S478="CARDINALS",0.96,IF(S478="PIRATES",1.02,IF(S478="NATIONALS",1,1))))))))))))))))))))))))))))))*IF(W478="",1,(1+((W478-70)/10*0.035)))*IF(U478="DOME",1,IF(U478="IN",1-(V478*0.01),IF(U478="OUT",1+(V478*0.01),IF(OR(U478="L-R",U478="R-L"),1+(V478*0.005),1))))</f>
        <v/>
      </c>
      <c r="U478" t="inlineStr">
        <is>
          <t>CROSS</t>
        </is>
      </c>
      <c r="V478" t="n">
        <v>8</v>
      </c>
      <c r="W478" t="n">
        <v>45</v>
      </c>
      <c r="Y478">
        <f>B478 &amp; " vs. " &amp; H478</f>
        <v/>
      </c>
      <c r="Z478">
        <f>TRIM(LEFT(Y478, FIND("vs.", Y478)-1))</f>
        <v/>
      </c>
      <c r="AA478">
        <f>TRIM(MID(Y478, FIND(" vs. ", Y478)+4, 100))</f>
        <v/>
      </c>
      <c r="AB478" s="35">
        <f>IF(Q478 &gt; VALUE(AC478), "O " &amp; AC478, IF(Q478 &lt; VALUE(AC478), "U " &amp; AC478, AC478))</f>
        <v/>
      </c>
      <c r="AC478" s="15">
        <f>IF(OR(O478="-", P478="-"), "-", MROUND(O478 + P478, 0.5))</f>
        <v/>
      </c>
      <c r="AD478" s="15">
        <f>VALUE(TRIM(RIGHT(AF478, LEN(AF478) - FIND(" ", AF478))))</f>
        <v/>
      </c>
      <c r="AE478" s="15">
        <f>LEFT(AF478,FIND(" ",AF478)-1)</f>
        <v/>
      </c>
      <c r="AF478" s="15">
        <f>IF(OR(O478="-", P478="-"), "-",
IF(MROUND(ABS(O478-P478),0.5)&lt;=0.5,
IF(O478&gt;P478, B478 &amp; " ML", H478 &amp; " ML"),
IF(MROUND(ABS(O478-P478),0.5)=1,
IF(O478&gt;P478, H478 &amp; " +1.5", B478 &amp; " +1.5"),
IF(O478&gt;P478, B478 &amp; " -1.5", H478 &amp; " -1.5")
)
)
)</f>
        <v/>
      </c>
      <c r="AG478" s="15">
        <f>_xlfn.LET(
_xlpm.winA, O478^1.83 / (O478^1.83 + P478^1.83),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79">
      <c r="A479" s="81" t="n">
        <v>46134</v>
      </c>
      <c r="B479" t="inlineStr">
        <is>
          <t>TWINS</t>
        </is>
      </c>
      <c r="C479">
        <f>VLOOKUP(B479, 'MLB Data'!$B$5:$D$34, 3, FALSE)</f>
        <v/>
      </c>
      <c r="D479" t="inlineStr">
        <is>
          <t>CONNOR PRIELIPP</t>
        </is>
      </c>
      <c r="F479" s="17">
        <f>VLOOKUP(B479, 'MLB Data'!$F$2:$H$34, 3, FALSE)</f>
        <v/>
      </c>
      <c r="G479" s="17">
        <f>IF((E479*0.6+F479*0.4)&lt;2.5, 2.8, IF((E479*0.6+F479*0.4)&gt;5.5, 5.2, (E479*0.6+F479*0.4)))</f>
        <v/>
      </c>
      <c r="H479" t="inlineStr">
        <is>
          <t>METS</t>
        </is>
      </c>
      <c r="I479">
        <f>VLOOKUP(H479, 'MLB Data'!$B$5:$D$34, 3, FALSE)</f>
        <v/>
      </c>
      <c r="J479" t="inlineStr">
        <is>
          <t>CLAY HOLMES</t>
        </is>
      </c>
      <c r="K479" t="n">
        <v>4.25</v>
      </c>
      <c r="L479" s="17">
        <f>VLOOKUP(H479, 'MLB Data'!$F$2:$H$34, 3, FALSE)</f>
        <v/>
      </c>
      <c r="M479" s="17">
        <f>IF((K479*0.6+L479*0.4)&lt;2.5, 2.8, IF((K479*0.6+L479*0.4)&gt;5.5, 5.2, (K479*0.6+L479*0.4)))</f>
        <v/>
      </c>
      <c r="O479" s="18">
        <f>(C479/100) * 4.1 * (M479 / 4.2) * T479</f>
        <v/>
      </c>
      <c r="P479" s="18">
        <f>(I479/100) * 4.05 * (G479 / 4.2) * T479</f>
        <v/>
      </c>
      <c r="Q479" s="18">
        <f>(O479+P479)</f>
        <v/>
      </c>
      <c r="S479" s="15">
        <f>H479</f>
        <v/>
      </c>
      <c r="T479" s="19">
        <f>IF(S479="ROCKIES",1.13,IF(S479="ATHLETICS",1.03,IF(S479="ROYALS",1.03,IF(S479="TWINS",1,IF(S479="TIGERS",1,IF(S479="MARLINS",1.01,IF(S479="REDS",1.05,IF(S479="RED SOX",1.04,IF(S479="YANKEES",1.02,IF(S479="DODGERS",0.99,IF(S479="PADRES",0.96,IF(S479="CUBS",0.98,IF(S479="GIANTS",0.97,IF(S479="MARINERS",0.94,IF(S479="RANGERS",1,IF(S479="ASTROS",0.99,IF(S479="BRAVES",1,IF(S479="METS",0.96,IF(S479="PHILLIES",1.02,IF(S479="BLUE JAYS",1.01,IF(S479="ORIOLES",0.99,IF(S479="RAYS",1.01,IF(S479="GUARDIANS",0.99,IF(S479="WHITE SOX",0.98,IF(S479="ANGELS",1.01,IF(S479="D-BACKS",1.01,IF(S479="BREWERS",0.99,IF(S479="CARDINALS",0.96,IF(S479="PIRATES",1.02,IF(S479="NATIONALS",1,1))))))))))))))))))))))))))))))*IF(W479="",1,(1+((W479-70)/10*0.035)))*IF(U479="DOME",1,IF(U479="IN",1-(V479*0.01),IF(U479="OUT",1+(V479*0.01),IF(OR(U479="L-R",U479="R-L"),1+(V479*0.005),1))))</f>
        <v/>
      </c>
      <c r="U479" t="inlineStr">
        <is>
          <t>IN</t>
        </is>
      </c>
      <c r="V479" t="n">
        <v>4</v>
      </c>
      <c r="W479" t="n">
        <v>51</v>
      </c>
      <c r="Y479">
        <f>B479 &amp; " vs. " &amp; H479</f>
        <v/>
      </c>
      <c r="Z479">
        <f>TRIM(LEFT(Y479, FIND("vs.", Y479)-1))</f>
        <v/>
      </c>
      <c r="AA479">
        <f>TRIM(MID(Y479, FIND(" vs. ", Y479)+4, 100))</f>
        <v/>
      </c>
      <c r="AB479" s="35">
        <f>IF(Q479 &gt; VALUE(AC479), "O " &amp; AC479, IF(Q479 &lt; VALUE(AC479), "U " &amp; AC479, AC479))</f>
        <v/>
      </c>
      <c r="AC479" s="15">
        <f>IF(OR(O479="-", P479="-"), "-", MROUND(O479 + P479, 0.5))</f>
        <v/>
      </c>
      <c r="AD479" s="15">
        <f>VALUE(TRIM(RIGHT(AF479, LEN(AF479) - FIND(" ", AF479))))</f>
        <v/>
      </c>
      <c r="AE479" s="15">
        <f>LEFT(AF479,FIND(" ",AF479)-1)</f>
        <v/>
      </c>
      <c r="AF479" s="15">
        <f>IF(OR(O479="-", P479="-"), "-",
IF(MROUND(ABS(O479-P479),0.5)&lt;=0.5,
IF(O479&gt;P479, B479 &amp; " ML", H479 &amp; " ML"),
IF(MROUND(ABS(O479-P479),0.5)=1,
IF(O479&gt;P479, H479 &amp; " +1.5", B479 &amp; " +1.5"),
IF(O479&gt;P479, B479 &amp; " -1.5", H479 &amp; " -1.5")
)
)
)</f>
        <v/>
      </c>
      <c r="AG479" s="15">
        <f>_xlfn.LET(
_xlpm.winA, O479^1.83 / (O479^1.83 + P479^1.83),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80">
      <c r="A480" s="81" t="n">
        <v>46134</v>
      </c>
      <c r="B480" t="inlineStr">
        <is>
          <t>PHILLIES</t>
        </is>
      </c>
      <c r="C480">
        <f>VLOOKUP(B480, 'MLB Data'!$B$5:$D$34, 3, FALSE)</f>
        <v/>
      </c>
      <c r="D480" t="inlineStr">
        <is>
          <t>KYLE BACKHUS</t>
        </is>
      </c>
      <c r="F480" s="17">
        <f>VLOOKUP(B480, 'MLB Data'!$F$2:$H$34, 3, FALSE)</f>
        <v/>
      </c>
      <c r="G480" s="17">
        <f>IF((E480*0.6+F480*0.4)&lt;2.5, 2.8, IF((E480*0.6+F480*0.4)&gt;5.5, 5.2, (E480*0.6+F480*0.4)))</f>
        <v/>
      </c>
      <c r="H480" t="inlineStr">
        <is>
          <t>CUBS</t>
        </is>
      </c>
      <c r="I480">
        <f>VLOOKUP(H480, 'MLB Data'!$B$5:$D$34, 3, FALSE)</f>
        <v/>
      </c>
      <c r="J480" t="inlineStr">
        <is>
          <t>MATTHEW BOYD</t>
        </is>
      </c>
      <c r="K480" t="n">
        <v>3.93</v>
      </c>
      <c r="L480" s="17">
        <f>VLOOKUP(H480, 'MLB Data'!$F$2:$H$34, 3, FALSE)</f>
        <v/>
      </c>
      <c r="M480" s="17">
        <f>IF((K480*0.6+L480*0.4)&lt;2.5, 2.8, IF((K480*0.6+L480*0.4)&gt;5.5, 5.2, (K480*0.6+L480*0.4)))</f>
        <v/>
      </c>
      <c r="O480" s="18">
        <f>(C480/100) * 4.1 * (M480 / 4.2) * T480</f>
        <v/>
      </c>
      <c r="P480" s="18">
        <f>(I480/100) * 4.05 * (G480 / 4.2) * T480</f>
        <v/>
      </c>
      <c r="Q480" s="18">
        <f>(O480+P480)</f>
        <v/>
      </c>
      <c r="S480" s="15">
        <f>H480</f>
        <v/>
      </c>
      <c r="T480" s="19">
        <f>IF(S480="ROCKIES",1.13,IF(S480="ATHLETICS",1.03,IF(S480="ROYALS",1.03,IF(S480="TWINS",1,IF(S480="TIGERS",1,IF(S480="MARLINS",1.01,IF(S480="REDS",1.05,IF(S480="RED SOX",1.04,IF(S480="YANKEES",1.02,IF(S480="DODGERS",0.99,IF(S480="PADRES",0.96,IF(S480="CUBS",0.98,IF(S480="GIANTS",0.97,IF(S480="MARINERS",0.94,IF(S480="RANGERS",1,IF(S480="ASTROS",0.99,IF(S480="BRAVES",1,IF(S480="METS",0.96,IF(S480="PHILLIES",1.02,IF(S480="BLUE JAYS",1.01,IF(S480="ORIOLES",0.99,IF(S480="RAYS",1.01,IF(S480="GUARDIANS",0.99,IF(S480="WHITE SOX",0.98,IF(S480="ANGELS",1.01,IF(S480="D-BACKS",1.01,IF(S480="BREWERS",0.99,IF(S480="CARDINALS",0.96,IF(S480="PIRATES",1.02,IF(S480="NATIONALS",1,1))))))))))))))))))))))))))))))*IF(W480="",1,(1+((W480-70)/10*0.035)))*IF(U480="DOME",1,IF(U480="IN",1-(V480*0.01),IF(U480="OUT",1+(V480*0.01),IF(OR(U480="L-R",U480="R-L"),1+(V480*0.005),1))))</f>
        <v/>
      </c>
      <c r="U480" t="inlineStr">
        <is>
          <t>IN</t>
        </is>
      </c>
      <c r="V480" t="n">
        <v>9</v>
      </c>
      <c r="W480" t="n">
        <v>53</v>
      </c>
      <c r="Y480">
        <f>B480 &amp; " vs. " &amp; H480</f>
        <v/>
      </c>
      <c r="Z480">
        <f>TRIM(LEFT(Y480, FIND("vs.", Y480)-1))</f>
        <v/>
      </c>
      <c r="AA480">
        <f>TRIM(MID(Y480, FIND(" vs. ", Y480)+4, 100))</f>
        <v/>
      </c>
      <c r="AB480" s="35">
        <f>IF(Q480 &gt; VALUE(AC480), "O " &amp; AC480, IF(Q480 &lt; VALUE(AC480), "U " &amp; AC480, AC480))</f>
        <v/>
      </c>
      <c r="AC480" s="15">
        <f>IF(OR(O480="-", P480="-"), "-", MROUND(O480 + P480, 0.5))</f>
        <v/>
      </c>
      <c r="AD480" s="15">
        <f>VALUE(TRIM(RIGHT(AF480, LEN(AF480) - FIND(" ", AF480))))</f>
        <v/>
      </c>
      <c r="AE480" s="15">
        <f>LEFT(AF480,FIND(" ",AF480)-1)</f>
        <v/>
      </c>
      <c r="AF480" s="15">
        <f>IF(OR(O480="-", P480="-"), "-",
IF(MROUND(ABS(O480-P480),0.5)&lt;=0.5,
IF(O480&gt;P480, B480 &amp; " ML", H480 &amp; " ML"),
IF(MROUND(ABS(O480-P480),0.5)=1,
IF(O480&gt;P480, H480 &amp; " +1.5", B480 &amp; " +1.5"),
IF(O480&gt;P480, B480 &amp; " -1.5", H480 &amp; " -1.5")
)
)
)</f>
        <v/>
      </c>
      <c r="AG480" s="15">
        <f>_xlfn.LET(
_xlpm.winA, O480^1.83 / (O480^1.83 + P480^1.83),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81">
      <c r="A481" s="81" t="n">
        <v>46134</v>
      </c>
      <c r="B481" t="inlineStr">
        <is>
          <t>PIRATES</t>
        </is>
      </c>
      <c r="C481">
        <f>VLOOKUP(B481, 'MLB Data'!$B$5:$D$34, 3, FALSE)</f>
        <v/>
      </c>
      <c r="D481" t="inlineStr">
        <is>
          <t>BRAXTON ASHCRAFT</t>
        </is>
      </c>
      <c r="E481" t="n">
        <v>3.15</v>
      </c>
      <c r="F481" s="17">
        <f>VLOOKUP(B481, 'MLB Data'!$F$2:$H$34, 3, FALSE)</f>
        <v/>
      </c>
      <c r="G481" s="17">
        <f>IF((E481*0.6+F481*0.4)&lt;2.5, 2.8, IF((E481*0.6+F481*0.4)&gt;5.5, 5.2, (E481*0.6+F481*0.4)))</f>
        <v/>
      </c>
      <c r="H481" t="inlineStr">
        <is>
          <t>RANGERS</t>
        </is>
      </c>
      <c r="I481">
        <f>VLOOKUP(H481, 'MLB Data'!$B$5:$D$34, 3, FALSE)</f>
        <v/>
      </c>
      <c r="J481" t="inlineStr">
        <is>
          <t>JACK LEITER</t>
        </is>
      </c>
      <c r="K481" t="n">
        <v>4.43</v>
      </c>
      <c r="L481" s="17">
        <f>VLOOKUP(H481, 'MLB Data'!$F$2:$H$34, 3, FALSE)</f>
        <v/>
      </c>
      <c r="M481" s="17">
        <f>IF((K481*0.6+L481*0.4)&lt;2.5, 2.8, IF((K481*0.6+L481*0.4)&gt;5.5, 5.2, (K481*0.6+L481*0.4)))</f>
        <v/>
      </c>
      <c r="O481" s="18">
        <f>(C481/100) * 4.1 * (M481 / 4.2) * T481</f>
        <v/>
      </c>
      <c r="P481" s="18">
        <f>(I481/100) * 4.05 * (G481 / 4.2) * T481</f>
        <v/>
      </c>
      <c r="Q481" s="18">
        <f>(O481+P481)</f>
        <v/>
      </c>
      <c r="S481" s="15">
        <f>H481</f>
        <v/>
      </c>
      <c r="T481" s="19">
        <f>IF(S481="ROCKIES",1.13,IF(S481="ATHLETICS",1.03,IF(S481="ROYALS",1.03,IF(S481="TWINS",1,IF(S481="TIGERS",1,IF(S481="MARLINS",1.01,IF(S481="REDS",1.05,IF(S481="RED SOX",1.04,IF(S481="YANKEES",1.02,IF(S481="DODGERS",0.99,IF(S481="PADRES",0.96,IF(S481="CUBS",0.98,IF(S481="GIANTS",0.97,IF(S481="MARINERS",0.94,IF(S481="RANGERS",1,IF(S481="ASTROS",0.99,IF(S481="BRAVES",1,IF(S481="METS",0.96,IF(S481="PHILLIES",1.02,IF(S481="BLUE JAYS",1.01,IF(S481="ORIOLES",0.99,IF(S481="RAYS",1.01,IF(S481="GUARDIANS",0.99,IF(S481="WHITE SOX",0.98,IF(S481="ANGELS",1.01,IF(S481="D-BACKS",1.01,IF(S481="BREWERS",0.99,IF(S481="CARDINALS",0.96,IF(S481="PIRATES",1.02,IF(S481="NATIONALS",1,1))))))))))))))))))))))))))))))*IF(W481="",1,(1+((W481-70)/10*0.035)))*IF(U481="DOME",1,IF(U481="IN",1-(V481*0.01),IF(U481="OUT",1+(V481*0.01),IF(OR(U481="L-R",U481="R-L"),1+(V481*0.005),1))))</f>
        <v/>
      </c>
      <c r="U481" t="inlineStr">
        <is>
          <t>DOME</t>
        </is>
      </c>
      <c r="V481" t="n">
        <v>0</v>
      </c>
      <c r="Y481">
        <f>B481 &amp; " vs. " &amp; H481</f>
        <v/>
      </c>
      <c r="Z481">
        <f>TRIM(LEFT(Y481, FIND("vs.", Y481)-1))</f>
        <v/>
      </c>
      <c r="AA481">
        <f>TRIM(MID(Y481, FIND(" vs. ", Y481)+4, 100))</f>
        <v/>
      </c>
      <c r="AB481" s="35">
        <f>IF(Q481 &gt; VALUE(AC481), "O " &amp; AC481, IF(Q481 &lt; VALUE(AC481), "U " &amp; AC481, AC481))</f>
        <v/>
      </c>
      <c r="AC481" s="15">
        <f>IF(OR(O481="-", P481="-"), "-", MROUND(O481 + P481, 0.5))</f>
        <v/>
      </c>
      <c r="AD481" s="15">
        <f>VALUE(TRIM(RIGHT(AF481, LEN(AF481) - FIND(" ", AF481))))</f>
        <v/>
      </c>
      <c r="AE481" s="15">
        <f>LEFT(AF481,FIND(" ",AF481)-1)</f>
        <v/>
      </c>
      <c r="AF481" s="15">
        <f>IF(OR(O481="-", P481="-"), "-",
IF(MROUND(ABS(O481-P481),0.5)&lt;=0.5,
IF(O481&gt;P481, B481 &amp; " ML", H481 &amp; " ML"),
IF(MROUND(ABS(O481-P481),0.5)=1,
IF(O481&gt;P481, H481 &amp; " +1.5", B481 &amp; " +1.5"),
IF(O481&gt;P481, B481 &amp; " -1.5", H481 &amp; " -1.5")
)
)
)</f>
        <v/>
      </c>
      <c r="AG481" s="15">
        <f>_xlfn.LET(
_xlpm.winA, O481^1.83 / (O481^1.83 + P481^1.83),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82">
      <c r="A482" s="81" t="n">
        <v>46134</v>
      </c>
      <c r="B482" t="inlineStr">
        <is>
          <t>PADRES</t>
        </is>
      </c>
      <c r="C482">
        <f>VLOOKUP(B482, 'MLB Data'!$B$5:$D$34, 3, FALSE)</f>
        <v/>
      </c>
      <c r="D482" t="inlineStr">
        <is>
          <t>WALKER BUEHLER</t>
        </is>
      </c>
      <c r="E482" t="n">
        <v>4.87</v>
      </c>
      <c r="F482" s="17">
        <f>VLOOKUP(B482, 'MLB Data'!$F$2:$H$34, 3, FALSE)</f>
        <v/>
      </c>
      <c r="G482" s="17">
        <f>IF((E482*0.6+F482*0.4)&lt;2.5, 2.8, IF((E482*0.6+F482*0.4)&gt;5.5, 5.2, (E482*0.6+F482*0.4)))</f>
        <v/>
      </c>
      <c r="H482" t="inlineStr">
        <is>
          <t>ROCKIES</t>
        </is>
      </c>
      <c r="I482">
        <f>VLOOKUP(H482, 'MLB Data'!$B$5:$D$34, 3, FALSE)</f>
        <v/>
      </c>
      <c r="J482" t="inlineStr">
        <is>
          <t>TOMOYUKI SUGANO</t>
        </is>
      </c>
      <c r="K482" t="n">
        <v>4.67</v>
      </c>
      <c r="L482" s="17">
        <f>VLOOKUP(H482, 'MLB Data'!$F$2:$H$34, 3, FALSE)</f>
        <v/>
      </c>
      <c r="M482" s="17">
        <f>IF((K482*0.6+L482*0.4)&lt;2.5, 2.8, IF((K482*0.6+L482*0.4)&gt;5.5, 5.2, (K482*0.6+L482*0.4)))</f>
        <v/>
      </c>
      <c r="O482" s="18">
        <f>(C482/100) * 4.1 * (M482 / 4.2) * T482</f>
        <v/>
      </c>
      <c r="P482" s="18">
        <f>(I482/100) * 4.05 * (G482 / 4.2) * T482</f>
        <v/>
      </c>
      <c r="Q482" s="18">
        <f>(O482+P482)</f>
        <v/>
      </c>
      <c r="S482" s="15">
        <f>H482</f>
        <v/>
      </c>
      <c r="T482" s="19">
        <f>IF(S482="ROCKIES",1.13,IF(S482="ATHLETICS",1.03,IF(S482="ROYALS",1.03,IF(S482="TWINS",1,IF(S482="TIGERS",1,IF(S482="MARLINS",1.01,IF(S482="REDS",1.05,IF(S482="RED SOX",1.04,IF(S482="YANKEES",1.02,IF(S482="DODGERS",0.99,IF(S482="PADRES",0.96,IF(S482="CUBS",0.98,IF(S482="GIANTS",0.97,IF(S482="MARINERS",0.94,IF(S482="RANGERS",1,IF(S482="ASTROS",0.99,IF(S482="BRAVES",1,IF(S482="METS",0.96,IF(S482="PHILLIES",1.02,IF(S482="BLUE JAYS",1.01,IF(S482="ORIOLES",0.99,IF(S482="RAYS",1.01,IF(S482="GUARDIANS",0.99,IF(S482="WHITE SOX",0.98,IF(S482="ANGELS",1.01,IF(S482="D-BACKS",1.01,IF(S482="BREWERS",0.99,IF(S482="CARDINALS",0.96,IF(S482="PIRATES",1.02,IF(S482="NATIONALS",1,1))))))))))))))))))))))))))))))*IF(W482="",1,(1+((W482-70)/10*0.035)))*IF(U482="DOME",1,IF(U482="IN",1-(V482*0.01),IF(U482="OUT",1+(V482*0.01),IF(OR(U482="L-R",U482="R-L"),1+(V482*0.005),1))))</f>
        <v/>
      </c>
      <c r="U482" t="inlineStr">
        <is>
          <t>CROSS</t>
        </is>
      </c>
      <c r="V482" t="n">
        <v>18</v>
      </c>
      <c r="W482" t="n">
        <v>78</v>
      </c>
      <c r="Y482">
        <f>B482 &amp; " vs. " &amp; H482</f>
        <v/>
      </c>
      <c r="Z482">
        <f>TRIM(LEFT(Y482, FIND("vs.", Y482)-1))</f>
        <v/>
      </c>
      <c r="AA482">
        <f>TRIM(MID(Y482, FIND(" vs. ", Y482)+4, 100))</f>
        <v/>
      </c>
      <c r="AB482" s="35">
        <f>IF(Q482 &gt; VALUE(AC482), "O " &amp; AC482, IF(Q482 &lt; VALUE(AC482), "U " &amp; AC482, AC482))</f>
        <v/>
      </c>
      <c r="AC482" s="15">
        <f>IF(OR(O482="-", P482="-"), "-", MROUND(O482 + P482, 0.5))</f>
        <v/>
      </c>
      <c r="AD482" s="15">
        <f>VALUE(TRIM(RIGHT(AF482, LEN(AF482) - FIND(" ", AF482))))</f>
        <v/>
      </c>
      <c r="AE482" s="15">
        <f>LEFT(AF482,FIND(" ",AF482)-1)</f>
        <v/>
      </c>
      <c r="AF482" s="15">
        <f>IF(OR(O482="-", P482="-"), "-",
IF(MROUND(ABS(O482-P482),0.5)&lt;=0.5,
IF(O482&gt;P482, B482 &amp; " ML", H482 &amp; " ML"),
IF(MROUND(ABS(O482-P482),0.5)=1,
IF(O482&gt;P482, H482 &amp; " +1.5", B482 &amp; " +1.5"),
IF(O482&gt;P482, B482 &amp; " -1.5", H482 &amp; " -1.5")
)
)
)</f>
        <v/>
      </c>
      <c r="AG482" s="15">
        <f>_xlfn.LET(
_xlpm.winA, O482^1.83 / (O482^1.83 + P482^1.83),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83">
      <c r="A483" s="81" t="n">
        <v>46134</v>
      </c>
      <c r="B483" t="inlineStr">
        <is>
          <t>WHITE SOX</t>
        </is>
      </c>
      <c r="C483">
        <f>VLOOKUP(B483, 'MLB Data'!$B$5:$D$34, 3, FALSE)</f>
        <v/>
      </c>
      <c r="D483" t="inlineStr">
        <is>
          <t>ANTHONY KAY</t>
        </is>
      </c>
      <c r="E483" t="n">
        <v>4.53</v>
      </c>
      <c r="F483" s="17">
        <f>VLOOKUP(B483, 'MLB Data'!$F$2:$H$34, 3, FALSE)</f>
        <v/>
      </c>
      <c r="G483" s="17">
        <f>IF((E483*0.6+F483*0.4)&lt;2.5, 2.8, IF((E483*0.6+F483*0.4)&gt;5.5, 5.2, (E483*0.6+F483*0.4)))</f>
        <v/>
      </c>
      <c r="H483" t="inlineStr">
        <is>
          <t>D-BACKS</t>
        </is>
      </c>
      <c r="I483">
        <f>VLOOKUP(H483, 'MLB Data'!$B$5:$D$34, 3, FALSE)</f>
        <v/>
      </c>
      <c r="J483" t="inlineStr">
        <is>
          <t>EDUARDO RODRIGUEZ</t>
        </is>
      </c>
      <c r="K483" t="n">
        <v>4.47</v>
      </c>
      <c r="L483" s="17">
        <f>VLOOKUP(H483, 'MLB Data'!$F$2:$H$34, 3, FALSE)</f>
        <v/>
      </c>
      <c r="M483" s="17">
        <f>IF((K483*0.6+L483*0.4)&lt;2.5, 2.8, IF((K483*0.6+L483*0.4)&gt;5.5, 5.2, (K483*0.6+L483*0.4)))</f>
        <v/>
      </c>
      <c r="O483" s="18">
        <f>(C483/100) * 4.1 * (M483 / 4.2) * T483</f>
        <v/>
      </c>
      <c r="P483" s="18">
        <f>(I483/100) * 4.05 * (G483 / 4.2) * T483</f>
        <v/>
      </c>
      <c r="Q483" s="18">
        <f>(O483+P483)</f>
        <v/>
      </c>
      <c r="S483" s="15">
        <f>H483</f>
        <v/>
      </c>
      <c r="T483" s="19">
        <f>IF(S483="ROCKIES",1.13,IF(S483="ATHLETICS",1.03,IF(S483="ROYALS",1.03,IF(S483="TWINS",1,IF(S483="TIGERS",1,IF(S483="MARLINS",1.01,IF(S483="REDS",1.05,IF(S483="RED SOX",1.04,IF(S483="YANKEES",1.02,IF(S483="DODGERS",0.99,IF(S483="PADRES",0.96,IF(S483="CUBS",0.98,IF(S483="GIANTS",0.97,IF(S483="MARINERS",0.94,IF(S483="RANGERS",1,IF(S483="ASTROS",0.99,IF(S483="BRAVES",1,IF(S483="METS",0.96,IF(S483="PHILLIES",1.02,IF(S483="BLUE JAYS",1.01,IF(S483="ORIOLES",0.99,IF(S483="RAYS",1.01,IF(S483="GUARDIANS",0.99,IF(S483="WHITE SOX",0.98,IF(S483="ANGELS",1.01,IF(S483="D-BACKS",1.01,IF(S483="BREWERS",0.99,IF(S483="CARDINALS",0.96,IF(S483="PIRATES",1.02,IF(S483="NATIONALS",1,1))))))))))))))))))))))))))))))*IF(W483="",1,(1+((W483-70)/10*0.035)))*IF(U483="DOME",1,IF(U483="IN",1-(V483*0.01),IF(U483="OUT",1+(V483*0.01),IF(OR(U483="L-R",U483="R-L"),1+(V483*0.005),1))))</f>
        <v/>
      </c>
      <c r="U483" t="inlineStr">
        <is>
          <t>DOME</t>
        </is>
      </c>
      <c r="V483" t="n">
        <v>0</v>
      </c>
      <c r="Y483">
        <f>B483 &amp; " vs. " &amp; H483</f>
        <v/>
      </c>
      <c r="Z483">
        <f>TRIM(LEFT(Y483, FIND("vs.", Y483)-1))</f>
        <v/>
      </c>
      <c r="AA483">
        <f>TRIM(MID(Y483, FIND(" vs. ", Y483)+4, 100))</f>
        <v/>
      </c>
      <c r="AB483" s="35">
        <f>IF(Q483 &gt; VALUE(AC483), "O " &amp; AC483, IF(Q483 &lt; VALUE(AC483), "U " &amp; AC483, AC483))</f>
        <v/>
      </c>
      <c r="AC483" s="15">
        <f>IF(OR(O483="-", P483="-"), "-", MROUND(O483 + P483, 0.5))</f>
        <v/>
      </c>
      <c r="AD483" s="15">
        <f>VALUE(TRIM(RIGHT(AF483, LEN(AF483) - FIND(" ", AF483))))</f>
        <v/>
      </c>
      <c r="AE483" s="15">
        <f>LEFT(AF483,FIND(" ",AF483)-1)</f>
        <v/>
      </c>
      <c r="AF483" s="15">
        <f>IF(OR(O483="-", P483="-"), "-",
IF(MROUND(ABS(O483-P483),0.5)&lt;=0.5,
IF(O483&gt;P483, B483 &amp; " ML", H483 &amp; " ML"),
IF(MROUND(ABS(O483-P483),0.5)=1,
IF(O483&gt;P483, H483 &amp; " +1.5", B483 &amp; " +1.5"),
IF(O483&gt;P483, B483 &amp; " -1.5", H483 &amp; " -1.5")
)
)
)</f>
        <v/>
      </c>
      <c r="AG483" s="15">
        <f>_xlfn.LET(
_xlpm.winA, O483^1.83 / (O483^1.83 + P483^1.83),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84">
      <c r="A484" s="81" t="n">
        <v>46134</v>
      </c>
      <c r="B484" t="inlineStr">
        <is>
          <t>DODGERS</t>
        </is>
      </c>
      <c r="C484">
        <f>VLOOKUP(B484, 'MLB Data'!$B$5:$D$34, 3, FALSE)</f>
        <v/>
      </c>
      <c r="D484" t="inlineStr">
        <is>
          <t>SHOHEI OHTANI</t>
        </is>
      </c>
      <c r="E484" t="n">
        <v>2.59</v>
      </c>
      <c r="F484" s="17">
        <f>VLOOKUP(B484, 'MLB Data'!$F$2:$H$34, 3, FALSE)</f>
        <v/>
      </c>
      <c r="G484" s="17">
        <f>IF((E484*0.6+F484*0.4)&lt;2.5, 2.8, IF((E484*0.6+F484*0.4)&gt;5.5, 5.2, (E484*0.6+F484*0.4)))</f>
        <v/>
      </c>
      <c r="H484" t="inlineStr">
        <is>
          <t>GIANTS</t>
        </is>
      </c>
      <c r="I484">
        <f>VLOOKUP(H484, 'MLB Data'!$B$5:$D$34, 3, FALSE)</f>
        <v/>
      </c>
      <c r="J484" t="inlineStr">
        <is>
          <t>TYLER MAHLE</t>
        </is>
      </c>
      <c r="K484" t="n">
        <v>4.36</v>
      </c>
      <c r="L484" s="17">
        <f>VLOOKUP(H484, 'MLB Data'!$F$2:$H$34, 3, FALSE)</f>
        <v/>
      </c>
      <c r="M484" s="17">
        <f>IF((K484*0.6+L484*0.4)&lt;2.5, 2.8, IF((K484*0.6+L484*0.4)&gt;5.5, 5.2, (K484*0.6+L484*0.4)))</f>
        <v/>
      </c>
      <c r="O484" s="18">
        <f>(C484/100) * 4.1 * (M484 / 4.2) * T484</f>
        <v/>
      </c>
      <c r="P484" s="18">
        <f>(I484/100) * 4.05 * (G484 / 4.2) * T484</f>
        <v/>
      </c>
      <c r="Q484" s="18">
        <f>(O484+P484)</f>
        <v/>
      </c>
      <c r="S484" s="15">
        <f>H484</f>
        <v/>
      </c>
      <c r="T484" s="19">
        <f>IF(S484="ROCKIES",1.13,IF(S484="ATHLETICS",1.03,IF(S484="ROYALS",1.03,IF(S484="TWINS",1,IF(S484="TIGERS",1,IF(S484="MARLINS",1.01,IF(S484="REDS",1.05,IF(S484="RED SOX",1.04,IF(S484="YANKEES",1.02,IF(S484="DODGERS",0.99,IF(S484="PADRES",0.96,IF(S484="CUBS",0.98,IF(S484="GIANTS",0.97,IF(S484="MARINERS",0.94,IF(S484="RANGERS",1,IF(S484="ASTROS",0.99,IF(S484="BRAVES",1,IF(S484="METS",0.96,IF(S484="PHILLIES",1.02,IF(S484="BLUE JAYS",1.01,IF(S484="ORIOLES",0.99,IF(S484="RAYS",1.01,IF(S484="GUARDIANS",0.99,IF(S484="WHITE SOX",0.98,IF(S484="ANGELS",1.01,IF(S484="D-BACKS",1.01,IF(S484="BREWERS",0.99,IF(S484="CARDINALS",0.96,IF(S484="PIRATES",1.02,IF(S484="NATIONALS",1,1))))))))))))))))))))))))))))))*IF(W484="",1,(1+((W484-70)/10*0.035)))*IF(U484="DOME",1,IF(U484="IN",1-(V484*0.01),IF(U484="OUT",1+(V484*0.01),IF(OR(U484="L-R",U484="R-L"),1+(V484*0.005),1))))</f>
        <v/>
      </c>
      <c r="U484" t="inlineStr">
        <is>
          <t>OUT</t>
        </is>
      </c>
      <c r="V484" t="n">
        <v>9</v>
      </c>
      <c r="W484" t="n">
        <v>59</v>
      </c>
      <c r="Y484">
        <f>B484 &amp; " vs. " &amp; H484</f>
        <v/>
      </c>
      <c r="Z484">
        <f>TRIM(LEFT(Y484, FIND("vs.", Y484)-1))</f>
        <v/>
      </c>
      <c r="AA484">
        <f>TRIM(MID(Y484, FIND(" vs. ", Y484)+4, 100))</f>
        <v/>
      </c>
      <c r="AB484" s="35">
        <f>IF(Q484 &gt; VALUE(AC484), "O " &amp; AC484, IF(Q484 &lt; VALUE(AC484), "U " &amp; AC484, AC484))</f>
        <v/>
      </c>
      <c r="AC484" s="15">
        <f>IF(OR(O484="-", P484="-"), "-", MROUND(O484 + P484, 0.5))</f>
        <v/>
      </c>
      <c r="AD484" s="15">
        <f>VALUE(TRIM(RIGHT(AF484, LEN(AF484) - FIND(" ", AF484))))</f>
        <v/>
      </c>
      <c r="AE484" s="15">
        <f>LEFT(AF484,FIND(" ",AF484)-1)</f>
        <v/>
      </c>
      <c r="AF484" s="15">
        <f>IF(OR(O484="-", P484="-"), "-",
IF(MROUND(ABS(O484-P484),0.5)&lt;=0.5,
IF(O484&gt;P484, B484 &amp; " ML", H484 &amp; " ML"),
IF(MROUND(ABS(O484-P484),0.5)=1,
IF(O484&gt;P484, H484 &amp; " +1.5", B484 &amp; " +1.5"),
IF(O484&gt;P484, B484 &amp; " -1.5", H484 &amp; " -1.5")
)
)
)</f>
        <v/>
      </c>
      <c r="AG484" s="15">
        <f>_xlfn.LET(
_xlpm.winA, O484^1.83 / (O484^1.83 + P484^1.83),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85">
      <c r="A485" s="81" t="n">
        <v>46135</v>
      </c>
      <c r="B485" t="inlineStr">
        <is>
          <t>BRAVES</t>
        </is>
      </c>
      <c r="C485">
        <f>VLOOKUP(B485, 'MLB Data'!$B$5:$D$34, 3, FALSE)</f>
        <v/>
      </c>
      <c r="D485" t="inlineStr">
        <is>
          <t>JR RITCHIE</t>
        </is>
      </c>
      <c r="F485" s="17">
        <f>VLOOKUP(B485, 'MLB Data'!$F$2:$H$34, 3, FALSE)</f>
        <v/>
      </c>
      <c r="G485" s="17">
        <f>IF((E485*0.6+F485*0.4)&lt;2.5, 2.8, IF((E485*0.6+F485*0.4)&gt;5.5, 5.2, (E485*0.6+F485*0.4)))</f>
        <v/>
      </c>
      <c r="H485" t="inlineStr">
        <is>
          <t>NATIONALS</t>
        </is>
      </c>
      <c r="I485">
        <f>VLOOKUP(H485, 'MLB Data'!$B$5:$D$34, 3, FALSE)</f>
        <v/>
      </c>
      <c r="J485" t="inlineStr">
        <is>
          <t>CADE CAVALLI</t>
        </is>
      </c>
      <c r="K485" t="n">
        <v>3.472</v>
      </c>
      <c r="L485" s="17">
        <f>VLOOKUP(H485, 'MLB Data'!$F$2:$H$34, 3, FALSE)</f>
        <v/>
      </c>
      <c r="M485" s="17">
        <f>IF((K485*0.6+L485*0.4)&lt;2.5, 2.8, IF((K485*0.6+L485*0.4)&gt;5.5, 5.2, (K485*0.6+L485*0.4)))</f>
        <v/>
      </c>
      <c r="O485" s="18">
        <f>(C485/100) * 4.1 * (M485 / 4.2) * T485</f>
        <v/>
      </c>
      <c r="P485" s="18">
        <f>(I485/100) * 4.05 * (G485 / 4.2) * T485</f>
        <v/>
      </c>
      <c r="Q485" s="18">
        <f>(O485+P485)</f>
        <v/>
      </c>
      <c r="S485" s="15">
        <f>H485</f>
        <v/>
      </c>
      <c r="T485" s="19">
        <f>IF(S485="ROCKIES",1.13,IF(S485="ATHLETICS",1.03,IF(S485="ROYALS",1.03,IF(S485="TWINS",1,IF(S485="TIGERS",1,IF(S485="MARLINS",1.01,IF(S485="REDS",1.05,IF(S485="RED SOX",1.04,IF(S485="YANKEES",1.02,IF(S485="DODGERS",0.99,IF(S485="PADRES",0.96,IF(S485="CUBS",0.98,IF(S485="GIANTS",0.97,IF(S485="MARINERS",0.94,IF(S485="RANGERS",1,IF(S485="ASTROS",0.99,IF(S485="BRAVES",1,IF(S485="METS",0.96,IF(S485="PHILLIES",1.02,IF(S485="BLUE JAYS",1.01,IF(S485="ORIOLES",0.99,IF(S485="RAYS",1.01,IF(S485="GUARDIANS",0.99,IF(S485="WHITE SOX",0.98,IF(S485="ANGELS",1.01,IF(S485="D-BACKS",1.01,IF(S485="BREWERS",0.99,IF(S485="CARDINALS",0.96,IF(S485="PIRATES",1.02,IF(S485="NATIONALS",1,1))))))))))))))))))))))))))))))*IF(W485="",1,(1+((W485-70)/10*0.035)))*IF(U485="DOME",1,IF(U485="IN",1-(V485*0.01),IF(U485="OUT",1+(V485*0.01),IF(OR(U485="L-R",U485="R-L"),1+(V485*0.005),1))))</f>
        <v/>
      </c>
      <c r="U485" t="inlineStr">
        <is>
          <t>IN</t>
        </is>
      </c>
      <c r="V485" t="n">
        <v>6</v>
      </c>
      <c r="W485" t="n">
        <v>80</v>
      </c>
      <c r="Y485">
        <f>B485 &amp; " vs. " &amp; H485</f>
        <v/>
      </c>
      <c r="Z485">
        <f>TRIM(LEFT(Y485, FIND("vs.", Y485)-1))</f>
        <v/>
      </c>
      <c r="AA485">
        <f>TRIM(MID(Y485, FIND(" vs. ", Y485)+4, 100))</f>
        <v/>
      </c>
      <c r="AB485" s="35">
        <f>IF(Q485 &gt; VALUE(AC485), "O " &amp; AC485, IF(Q485 &lt; VALUE(AC485), "U " &amp; AC485, AC485))</f>
        <v/>
      </c>
      <c r="AC485" s="15">
        <f>IF(OR(O485="-", P485="-"), "-", MROUND(O485 + P485, 0.5))</f>
        <v/>
      </c>
      <c r="AD485" s="15">
        <f>VALUE(TRIM(RIGHT(AF485, LEN(AF485) - FIND(" ", AF485))))</f>
        <v/>
      </c>
      <c r="AE485" s="15">
        <f>LEFT(AF485,FIND(" ",AF485)-1)</f>
        <v/>
      </c>
      <c r="AF485" s="15">
        <f>IF(OR(O485="-", P485="-"), "-",
IF(MROUND(ABS(O485-P485),0.5)&lt;=0.5,
IF(O485&gt;P485, B485 &amp; " ML", H485 &amp; " ML"),
IF(MROUND(ABS(O485-P485),0.5)=1,
IF(O485&gt;P485, H485 &amp; " +1.5", B485 &amp; " +1.5"),
IF(O485&gt;P485, B485 &amp; " -1.5", H485 &amp; " -1.5")
)
)
)</f>
        <v/>
      </c>
      <c r="AG485" s="15">
        <f>_xlfn.LET(
_xlpm.winA, O485^1.83 / (O485^1.83 + P485^1.83),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86">
      <c r="A486" s="81" t="n">
        <v>46135</v>
      </c>
      <c r="B486" t="inlineStr">
        <is>
          <t>BREWERS</t>
        </is>
      </c>
      <c r="C486">
        <f>VLOOKUP(B486, 'MLB Data'!$B$5:$D$34, 3, FALSE)</f>
        <v/>
      </c>
      <c r="D486" t="inlineStr">
        <is>
          <t>BRANDON SPROAT</t>
        </is>
      </c>
      <c r="E486" t="n">
        <v>5.376</v>
      </c>
      <c r="F486" s="17">
        <f>VLOOKUP(B486, 'MLB Data'!$F$2:$H$34, 3, FALSE)</f>
        <v/>
      </c>
      <c r="G486" s="17">
        <f>IF((E486*0.6+F486*0.4)&lt;2.5, 2.8, IF((E486*0.6+F486*0.4)&gt;5.5, 5.2, (E486*0.6+F486*0.4)))</f>
        <v/>
      </c>
      <c r="H486" t="inlineStr">
        <is>
          <t>TIGERS</t>
        </is>
      </c>
      <c r="I486">
        <f>VLOOKUP(H486, 'MLB Data'!$B$5:$D$34, 3, FALSE)</f>
        <v/>
      </c>
      <c r="J486" t="inlineStr">
        <is>
          <t>TARIK SKUBAL</t>
        </is>
      </c>
      <c r="K486" t="n">
        <v>2.5</v>
      </c>
      <c r="L486" s="17">
        <f>VLOOKUP(H486, 'MLB Data'!$F$2:$H$34, 3, FALSE)</f>
        <v/>
      </c>
      <c r="M486" s="17">
        <f>IF((K486*0.6+L486*0.4)&lt;2.5, 2.8, IF((K486*0.6+L486*0.4)&gt;5.5, 5.2, (K486*0.6+L486*0.4)))</f>
        <v/>
      </c>
      <c r="O486" s="18">
        <f>(C486/100) * 4.1 * (M486 / 4.2) * T486</f>
        <v/>
      </c>
      <c r="P486" s="18">
        <f>(I486/100) * 4.05 * (G486 / 4.2) * T486</f>
        <v/>
      </c>
      <c r="Q486" s="18">
        <f>(O486+P486)</f>
        <v/>
      </c>
      <c r="S486" s="15">
        <f>H486</f>
        <v/>
      </c>
      <c r="T486" s="19">
        <f>IF(S486="ROCKIES",1.13,IF(S486="ATHLETICS",1.03,IF(S486="ROYALS",1.03,IF(S486="TWINS",1,IF(S486="TIGERS",1,IF(S486="MARLINS",1.01,IF(S486="REDS",1.05,IF(S486="RED SOX",1.04,IF(S486="YANKEES",1.02,IF(S486="DODGERS",0.99,IF(S486="PADRES",0.96,IF(S486="CUBS",0.98,IF(S486="GIANTS",0.97,IF(S486="MARINERS",0.94,IF(S486="RANGERS",1,IF(S486="ASTROS",0.99,IF(S486="BRAVES",1,IF(S486="METS",0.96,IF(S486="PHILLIES",1.02,IF(S486="BLUE JAYS",1.01,IF(S486="ORIOLES",0.99,IF(S486="RAYS",1.01,IF(S486="GUARDIANS",0.99,IF(S486="WHITE SOX",0.98,IF(S486="ANGELS",1.01,IF(S486="D-BACKS",1.01,IF(S486="BREWERS",0.99,IF(S486="CARDINALS",0.96,IF(S486="PIRATES",1.02,IF(S486="NATIONALS",1,1))))))))))))))))))))))))))))))*IF(W486="",1,(1+((W486-70)/10*0.035)))*IF(U486="DOME",1,IF(U486="IN",1-(V486*0.01),IF(U486="OUT",1+(V486*0.01),IF(OR(U486="L-R",U486="R-L"),1+(V486*0.005),1))))</f>
        <v/>
      </c>
      <c r="U486" t="inlineStr">
        <is>
          <t>OUT</t>
        </is>
      </c>
      <c r="V486" t="n">
        <v>7</v>
      </c>
      <c r="W486" t="n">
        <v>74</v>
      </c>
      <c r="Y486">
        <f>B486 &amp; " vs. " &amp; H486</f>
        <v/>
      </c>
      <c r="Z486">
        <f>TRIM(LEFT(Y486, FIND("vs.", Y486)-1))</f>
        <v/>
      </c>
      <c r="AA486">
        <f>TRIM(MID(Y486, FIND(" vs. ", Y486)+4, 100))</f>
        <v/>
      </c>
      <c r="AB486" s="35">
        <f>IF(Q486 &gt; VALUE(AC486), "O " &amp; AC486, IF(Q486 &lt; VALUE(AC486), "U " &amp; AC486, AC486))</f>
        <v/>
      </c>
      <c r="AC486" s="15">
        <f>IF(OR(O486="-", P486="-"), "-", MROUND(O486 + P486, 0.5))</f>
        <v/>
      </c>
      <c r="AD486" s="15">
        <f>VALUE(TRIM(RIGHT(AF486, LEN(AF486) - FIND(" ", AF486))))</f>
        <v/>
      </c>
      <c r="AE486" s="15">
        <f>LEFT(AF486,FIND(" ",AF486)-1)</f>
        <v/>
      </c>
      <c r="AF486" s="15">
        <f>IF(OR(O486="-", P486="-"), "-",
IF(MROUND(ABS(O486-P486),0.5)&lt;=0.5,
IF(O486&gt;P486, B486 &amp; " ML", H486 &amp; " ML"),
IF(MROUND(ABS(O486-P486),0.5)=1,
IF(O486&gt;P486, H486 &amp; " +1.5", B486 &amp; " +1.5"),
IF(O486&gt;P486, B486 &amp; " -1.5", H486 &amp; " -1.5")
)
)
)</f>
        <v/>
      </c>
      <c r="AG486" s="15">
        <f>_xlfn.LET(
_xlpm.winA, O486^1.83 / (O486^1.83 + P486^1.83),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87">
      <c r="A487" s="81" t="n">
        <v>46135</v>
      </c>
      <c r="B487" t="inlineStr">
        <is>
          <t>PHILLIES</t>
        </is>
      </c>
      <c r="C487">
        <f>VLOOKUP(B487, 'MLB Data'!$B$5:$D$34, 3, FALSE)</f>
        <v/>
      </c>
      <c r="D487" t="inlineStr">
        <is>
          <t>CRISTOPHER SÁNCHEZ</t>
        </is>
      </c>
      <c r="E487" t="n">
        <v>2.5</v>
      </c>
      <c r="F487" s="17">
        <f>VLOOKUP(B487, 'MLB Data'!$F$2:$H$34, 3, FALSE)</f>
        <v/>
      </c>
      <c r="G487" s="17">
        <f>IF((E487*0.6+F487*0.4)&lt;2.5, 2.8, IF((E487*0.6+F487*0.4)&gt;5.5, 5.2, (E487*0.6+F487*0.4)))</f>
        <v/>
      </c>
      <c r="H487" t="inlineStr">
        <is>
          <t>CUBS</t>
        </is>
      </c>
      <c r="I487">
        <f>VLOOKUP(H487, 'MLB Data'!$B$5:$D$34, 3, FALSE)</f>
        <v/>
      </c>
      <c r="J487" t="inlineStr">
        <is>
          <t>EDWARD CABRERA</t>
        </is>
      </c>
      <c r="K487" t="n">
        <v>3.192</v>
      </c>
      <c r="L487" s="17">
        <f>VLOOKUP(H487, 'MLB Data'!$F$2:$H$34, 3, FALSE)</f>
        <v/>
      </c>
      <c r="M487" s="17">
        <f>IF((K487*0.6+L487*0.4)&lt;2.5, 2.8, IF((K487*0.6+L487*0.4)&gt;5.5, 5.2, (K487*0.6+L487*0.4)))</f>
        <v/>
      </c>
      <c r="O487" s="18">
        <f>(C487/100) * 4.1 * (M487 / 4.2) * T487</f>
        <v/>
      </c>
      <c r="P487" s="18">
        <f>(I487/100) * 4.05 * (G487 / 4.2) * T487</f>
        <v/>
      </c>
      <c r="Q487" s="18">
        <f>(O487+P487)</f>
        <v/>
      </c>
      <c r="S487" s="15">
        <f>H487</f>
        <v/>
      </c>
      <c r="T487" s="19">
        <f>IF(S487="ROCKIES",1.13,IF(S487="ATHLETICS",1.03,IF(S487="ROYALS",1.03,IF(S487="TWINS",1,IF(S487="TIGERS",1,IF(S487="MARLINS",1.01,IF(S487="REDS",1.05,IF(S487="RED SOX",1.04,IF(S487="YANKEES",1.02,IF(S487="DODGERS",0.99,IF(S487="PADRES",0.96,IF(S487="CUBS",0.98,IF(S487="GIANTS",0.97,IF(S487="MARINERS",0.94,IF(S487="RANGERS",1,IF(S487="ASTROS",0.99,IF(S487="BRAVES",1,IF(S487="METS",0.96,IF(S487="PHILLIES",1.02,IF(S487="BLUE JAYS",1.01,IF(S487="ORIOLES",0.99,IF(S487="RAYS",1.01,IF(S487="GUARDIANS",0.99,IF(S487="WHITE SOX",0.98,IF(S487="ANGELS",1.01,IF(S487="D-BACKS",1.01,IF(S487="BREWERS",0.99,IF(S487="CARDINALS",0.96,IF(S487="PIRATES",1.02,IF(S487="NATIONALS",1,1))))))))))))))))))))))))))))))*IF(W487="",1,(1+((W487-70)/10*0.035)))*IF(U487="DOME",1,IF(U487="IN",1-(V487*0.01),IF(U487="OUT",1+(V487*0.01),IF(OR(U487="L-R",U487="R-L"),1+(V487*0.005),1))))</f>
        <v/>
      </c>
      <c r="U487" t="inlineStr">
        <is>
          <t>CROSS</t>
        </is>
      </c>
      <c r="V487" t="n">
        <v>10</v>
      </c>
      <c r="W487" t="n">
        <v>75</v>
      </c>
      <c r="Y487">
        <f>B487 &amp; " vs. " &amp; H487</f>
        <v/>
      </c>
      <c r="Z487">
        <f>TRIM(LEFT(Y487, FIND("vs.", Y487)-1))</f>
        <v/>
      </c>
      <c r="AA487">
        <f>TRIM(MID(Y487, FIND(" vs. ", Y487)+4, 100))</f>
        <v/>
      </c>
      <c r="AB487" s="35">
        <f>IF(Q487 &gt; VALUE(AC487), "O " &amp; AC487, IF(Q487 &lt; VALUE(AC487), "U " &amp; AC487, AC487))</f>
        <v/>
      </c>
      <c r="AC487" s="15">
        <f>IF(OR(O487="-", P487="-"), "-", MROUND(O487 + P487, 0.5))</f>
        <v/>
      </c>
      <c r="AD487" s="15">
        <f>VALUE(TRIM(RIGHT(AF487, LEN(AF487) - FIND(" ", AF487))))</f>
        <v/>
      </c>
      <c r="AE487" s="15">
        <f>LEFT(AF487,FIND(" ",AF487)-1)</f>
        <v/>
      </c>
      <c r="AF487" s="15">
        <f>IF(OR(O487="-", P487="-"), "-",
IF(MROUND(ABS(O487-P487),0.5)&lt;=0.5,
IF(O487&gt;P487, B487 &amp; " ML", H487 &amp; " ML"),
IF(MROUND(ABS(O487-P487),0.5)=1,
IF(O487&gt;P487, H487 &amp; " +1.5", B487 &amp; " +1.5"),
IF(O487&gt;P487, B487 &amp; " -1.5", H487 &amp; " -1.5")
)
)
)</f>
        <v/>
      </c>
      <c r="AG487" s="15">
        <f>_xlfn.LET(
_xlpm.winA, O487^1.83 / (O487^1.83 + P487^1.83),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88">
      <c r="A488" s="81" t="n">
        <v>46135</v>
      </c>
      <c r="B488" t="inlineStr">
        <is>
          <t>PADRES</t>
        </is>
      </c>
      <c r="C488">
        <f>VLOOKUP(B488, 'MLB Data'!$B$5:$D$34, 3, FALSE)</f>
        <v/>
      </c>
      <c r="D488" t="inlineStr">
        <is>
          <t>MATT WALDRON</t>
        </is>
      </c>
      <c r="E488" t="n">
        <v>6.81</v>
      </c>
      <c r="F488" s="17">
        <f>VLOOKUP(B488, 'MLB Data'!$F$2:$H$34, 3, FALSE)</f>
        <v/>
      </c>
      <c r="G488" s="17">
        <f>IF((E488*0.6+F488*0.4)&lt;2.5, 2.8, IF((E488*0.6+F488*0.4)&gt;5.5, 5.2, (E488*0.6+F488*0.4)))</f>
        <v/>
      </c>
      <c r="H488" t="inlineStr">
        <is>
          <t>ROCKIES</t>
        </is>
      </c>
      <c r="I488">
        <f>VLOOKUP(H488, 'MLB Data'!$B$5:$D$34, 3, FALSE)</f>
        <v/>
      </c>
      <c r="J488" t="inlineStr">
        <is>
          <t>RYAN FELTNER</t>
        </is>
      </c>
      <c r="K488" t="n">
        <v>5.202</v>
      </c>
      <c r="L488" s="17">
        <f>VLOOKUP(H488, 'MLB Data'!$F$2:$H$34, 3, FALSE)</f>
        <v/>
      </c>
      <c r="M488" s="17">
        <f>IF((K488*0.6+L488*0.4)&lt;2.5, 2.8, IF((K488*0.6+L488*0.4)&gt;5.5, 5.2, (K488*0.6+L488*0.4)))</f>
        <v/>
      </c>
      <c r="O488" s="18">
        <f>(C488/100) * 4.1 * (M488 / 4.2) * T488</f>
        <v/>
      </c>
      <c r="P488" s="18">
        <f>(I488/100) * 4.05 * (G488 / 4.2) * T488</f>
        <v/>
      </c>
      <c r="Q488" s="18">
        <f>(O488+P488)</f>
        <v/>
      </c>
      <c r="S488" s="15">
        <f>H488</f>
        <v/>
      </c>
      <c r="T488" s="19">
        <f>IF(S488="ROCKIES",1.13,IF(S488="ATHLETICS",1.03,IF(S488="ROYALS",1.03,IF(S488="TWINS",1,IF(S488="TIGERS",1,IF(S488="MARLINS",1.01,IF(S488="REDS",1.05,IF(S488="RED SOX",1.04,IF(S488="YANKEES",1.02,IF(S488="DODGERS",0.99,IF(S488="PADRES",0.96,IF(S488="CUBS",0.98,IF(S488="GIANTS",0.97,IF(S488="MARINERS",0.94,IF(S488="RANGERS",1,IF(S488="ASTROS",0.99,IF(S488="BRAVES",1,IF(S488="METS",0.96,IF(S488="PHILLIES",1.02,IF(S488="BLUE JAYS",1.01,IF(S488="ORIOLES",0.99,IF(S488="RAYS",1.01,IF(S488="GUARDIANS",0.99,IF(S488="WHITE SOX",0.98,IF(S488="ANGELS",1.01,IF(S488="D-BACKS",1.01,IF(S488="BREWERS",0.99,IF(S488="CARDINALS",0.96,IF(S488="PIRATES",1.02,IF(S488="NATIONALS",1,1))))))))))))))))))))))))))))))*IF(W488="",1,(1+((W488-70)/10*0.035)))*IF(U488="DOME",1,IF(U488="IN",1-(V488*0.01),IF(U488="OUT",1+(V488*0.01),IF(OR(U488="L-R",U488="R-L"),1+(V488*0.005),1))))</f>
        <v/>
      </c>
      <c r="U488" t="inlineStr">
        <is>
          <t>IN</t>
        </is>
      </c>
      <c r="V488" t="n">
        <v>9</v>
      </c>
      <c r="W488" t="n">
        <v>64</v>
      </c>
      <c r="Y488">
        <f>B488 &amp; " vs. " &amp; H488</f>
        <v/>
      </c>
      <c r="Z488">
        <f>TRIM(LEFT(Y488, FIND("vs.", Y488)-1))</f>
        <v/>
      </c>
      <c r="AA488">
        <f>TRIM(MID(Y488, FIND(" vs. ", Y488)+4, 100))</f>
        <v/>
      </c>
      <c r="AB488" s="35">
        <f>IF(Q488 &gt; VALUE(AC488), "O " &amp; AC488, IF(Q488 &lt; VALUE(AC488), "U " &amp; AC488, AC488))</f>
        <v/>
      </c>
      <c r="AC488" s="15">
        <f>IF(OR(O488="-", P488="-"), "-", MROUND(O488 + P488, 0.5))</f>
        <v/>
      </c>
      <c r="AD488" s="15">
        <f>VALUE(TRIM(RIGHT(AF488, LEN(AF488) - FIND(" ", AF488))))</f>
        <v/>
      </c>
      <c r="AE488" s="15">
        <f>LEFT(AF488,FIND(" ",AF488)-1)</f>
        <v/>
      </c>
      <c r="AF488" s="15">
        <f>IF(OR(O488="-", P488="-"), "-",
IF(MROUND(ABS(O488-P488),0.5)&lt;=0.5,
IF(O488&gt;P488, B488 &amp; " ML", H488 &amp; " ML"),
IF(MROUND(ABS(O488-P488),0.5)=1,
IF(O488&gt;P488, H488 &amp; " +1.5", B488 &amp; " +1.5"),
IF(O488&gt;P488, B488 &amp; " -1.5", H488 &amp; " -1.5")
)
)
)</f>
        <v/>
      </c>
      <c r="AG488" s="15">
        <f>_xlfn.LET(
_xlpm.winA, O488^1.83 / (O488^1.83 + P488^1.83),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89">
      <c r="A489" s="81" t="n">
        <v>46135</v>
      </c>
      <c r="B489" t="inlineStr">
        <is>
          <t>WHITE SOX</t>
        </is>
      </c>
      <c r="C489">
        <f>VLOOKUP(B489, 'MLB Data'!$B$5:$D$34, 3, FALSE)</f>
        <v/>
      </c>
      <c r="D489" t="inlineStr">
        <is>
          <t>DAVIS MARTIN</t>
        </is>
      </c>
      <c r="E489" t="n">
        <v>3.6</v>
      </c>
      <c r="F489" s="17">
        <f>VLOOKUP(B489, 'MLB Data'!$F$2:$H$34, 3, FALSE)</f>
        <v/>
      </c>
      <c r="G489" s="17">
        <f>IF((E489*0.6+F489*0.4)&lt;2.5, 2.8, IF((E489*0.6+F489*0.4)&gt;5.5, 5.2, (E489*0.6+F489*0.4)))</f>
        <v/>
      </c>
      <c r="H489" t="inlineStr">
        <is>
          <t>D-BACKS</t>
        </is>
      </c>
      <c r="I489">
        <f>VLOOKUP(H489, 'MLB Data'!$B$5:$D$34, 3, FALSE)</f>
        <v/>
      </c>
      <c r="J489" t="inlineStr">
        <is>
          <t>MICHAEL SOROKA</t>
        </is>
      </c>
      <c r="K489" t="n">
        <v>3.542</v>
      </c>
      <c r="L489" s="17">
        <f>VLOOKUP(H489, 'MLB Data'!$F$2:$H$34, 3, FALSE)</f>
        <v/>
      </c>
      <c r="M489" s="17">
        <f>IF((K489*0.6+L489*0.4)&lt;2.5, 2.8, IF((K489*0.6+L489*0.4)&gt;5.5, 5.2, (K489*0.6+L489*0.4)))</f>
        <v/>
      </c>
      <c r="O489" s="18">
        <f>(C489/100) * 4.1 * (M489 / 4.2) * T489</f>
        <v/>
      </c>
      <c r="P489" s="18">
        <f>(I489/100) * 4.05 * (G489 / 4.2) * T489</f>
        <v/>
      </c>
      <c r="Q489" s="18">
        <f>(O489+P489)</f>
        <v/>
      </c>
      <c r="S489" s="15">
        <f>H489</f>
        <v/>
      </c>
      <c r="T489" s="19">
        <f>IF(S489="ROCKIES",1.13,IF(S489="ATHLETICS",1.03,IF(S489="ROYALS",1.03,IF(S489="TWINS",1,IF(S489="TIGERS",1,IF(S489="MARLINS",1.01,IF(S489="REDS",1.05,IF(S489="RED SOX",1.04,IF(S489="YANKEES",1.02,IF(S489="DODGERS",0.99,IF(S489="PADRES",0.96,IF(S489="CUBS",0.98,IF(S489="GIANTS",0.97,IF(S489="MARINERS",0.94,IF(S489="RANGERS",1,IF(S489="ASTROS",0.99,IF(S489="BRAVES",1,IF(S489="METS",0.96,IF(S489="PHILLIES",1.02,IF(S489="BLUE JAYS",1.01,IF(S489="ORIOLES",0.99,IF(S489="RAYS",1.01,IF(S489="GUARDIANS",0.99,IF(S489="WHITE SOX",0.98,IF(S489="ANGELS",1.01,IF(S489="D-BACKS",1.01,IF(S489="BREWERS",0.99,IF(S489="CARDINALS",0.96,IF(S489="PIRATES",1.02,IF(S489="NATIONALS",1,1))))))))))))))))))))))))))))))*IF(W489="",1,(1+((W489-70)/10*0.035)))*IF(U489="DOME",1,IF(U489="IN",1-(V489*0.01),IF(U489="OUT",1+(V489*0.01),IF(OR(U489="L-R",U489="R-L"),1+(V489*0.005),1))))</f>
        <v/>
      </c>
      <c r="U489" t="inlineStr">
        <is>
          <t>DOME</t>
        </is>
      </c>
      <c r="V489" t="n">
        <v>0</v>
      </c>
      <c r="Y489">
        <f>B489 &amp; " vs. " &amp; H489</f>
        <v/>
      </c>
      <c r="Z489">
        <f>TRIM(LEFT(Y489, FIND("vs.", Y489)-1))</f>
        <v/>
      </c>
      <c r="AA489">
        <f>TRIM(MID(Y489, FIND(" vs. ", Y489)+4, 100))</f>
        <v/>
      </c>
      <c r="AB489" s="35">
        <f>IF(Q489 &gt; VALUE(AC489), "O " &amp; AC489, IF(Q489 &lt; VALUE(AC489), "U " &amp; AC489, AC489))</f>
        <v/>
      </c>
      <c r="AC489" s="15">
        <f>IF(OR(O489="-", P489="-"), "-", MROUND(O489 + P489, 0.5))</f>
        <v/>
      </c>
      <c r="AD489" s="15">
        <f>VALUE(TRIM(RIGHT(AF489, LEN(AF489) - FIND(" ", AF489))))</f>
        <v/>
      </c>
      <c r="AE489" s="15">
        <f>LEFT(AF489,FIND(" ",AF489)-1)</f>
        <v/>
      </c>
      <c r="AF489" s="15">
        <f>IF(OR(O489="-", P489="-"), "-",
IF(MROUND(ABS(O489-P489),0.5)&lt;=0.5,
IF(O489&gt;P489, B489 &amp; " ML", H489 &amp; " ML"),
IF(MROUND(ABS(O489-P489),0.5)=1,
IF(O489&gt;P489, H489 &amp; " +1.5", B489 &amp; " +1.5"),
IF(O489&gt;P489, B489 &amp; " -1.5", H489 &amp; " -1.5")
)
)
)</f>
        <v/>
      </c>
      <c r="AG489" s="15">
        <f>_xlfn.LET(
_xlpm.winA, O489^1.83 / (O489^1.83 + P489^1.83),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90">
      <c r="A490" s="81" t="n">
        <v>46135</v>
      </c>
      <c r="B490" t="inlineStr">
        <is>
          <t>DODGERS</t>
        </is>
      </c>
      <c r="C490">
        <f>VLOOKUP(B490, 'MLB Data'!$B$5:$D$34, 3, FALSE)</f>
        <v/>
      </c>
      <c r="D490" t="inlineStr">
        <is>
          <t>TYLER GLASNOW</t>
        </is>
      </c>
      <c r="E490" t="n">
        <v>3.468</v>
      </c>
      <c r="F490" s="17">
        <f>VLOOKUP(B490, 'MLB Data'!$F$2:$H$34, 3, FALSE)</f>
        <v/>
      </c>
      <c r="G490" s="17">
        <f>IF((E490*0.6+F490*0.4)&lt;2.5, 2.8, IF((E490*0.6+F490*0.4)&gt;5.5, 5.2, (E490*0.6+F490*0.4)))</f>
        <v/>
      </c>
      <c r="H490" t="inlineStr">
        <is>
          <t>GIANTS</t>
        </is>
      </c>
      <c r="I490">
        <f>VLOOKUP(H490, 'MLB Data'!$B$5:$D$34, 3, FALSE)</f>
        <v/>
      </c>
      <c r="J490" t="inlineStr">
        <is>
          <t>LOGAN WEBB</t>
        </is>
      </c>
      <c r="K490" t="n">
        <v>3.756</v>
      </c>
      <c r="L490" s="17">
        <f>VLOOKUP(H490, 'MLB Data'!$F$2:$H$34, 3, FALSE)</f>
        <v/>
      </c>
      <c r="M490" s="17">
        <f>IF((K490*0.6+L490*0.4)&lt;2.5, 2.8, IF((K490*0.6+L490*0.4)&gt;5.5, 5.2, (K490*0.6+L490*0.4)))</f>
        <v/>
      </c>
      <c r="O490" s="18">
        <f>(C490/100) * 4.1 * (M490 / 4.2) * T490</f>
        <v/>
      </c>
      <c r="P490" s="18">
        <f>(I490/100) * 4.05 * (G490 / 4.2) * T490</f>
        <v/>
      </c>
      <c r="Q490" s="18">
        <f>(O490+P490)</f>
        <v/>
      </c>
      <c r="S490" s="15">
        <f>H490</f>
        <v/>
      </c>
      <c r="T490" s="19">
        <f>IF(S490="ROCKIES",1.13,IF(S490="ATHLETICS",1.03,IF(S490="ROYALS",1.03,IF(S490="TWINS",1,IF(S490="TIGERS",1,IF(S490="MARLINS",1.01,IF(S490="REDS",1.05,IF(S490="RED SOX",1.04,IF(S490="YANKEES",1.02,IF(S490="DODGERS",0.99,IF(S490="PADRES",0.96,IF(S490="CUBS",0.98,IF(S490="GIANTS",0.97,IF(S490="MARINERS",0.94,IF(S490="RANGERS",1,IF(S490="ASTROS",0.99,IF(S490="BRAVES",1,IF(S490="METS",0.96,IF(S490="PHILLIES",1.02,IF(S490="BLUE JAYS",1.01,IF(S490="ORIOLES",0.99,IF(S490="RAYS",1.01,IF(S490="GUARDIANS",0.99,IF(S490="WHITE SOX",0.98,IF(S490="ANGELS",1.01,IF(S490="D-BACKS",1.01,IF(S490="BREWERS",0.99,IF(S490="CARDINALS",0.96,IF(S490="PIRATES",1.02,IF(S490="NATIONALS",1,1))))))))))))))))))))))))))))))*IF(W490="",1,(1+((W490-70)/10*0.035)))*IF(U490="DOME",1,IF(U490="IN",1-(V490*0.01),IF(U490="OUT",1+(V490*0.01),IF(OR(U490="L-R",U490="R-L"),1+(V490*0.005),1))))</f>
        <v/>
      </c>
      <c r="U490" t="inlineStr">
        <is>
          <t>IN</t>
        </is>
      </c>
      <c r="V490" t="n">
        <v>2</v>
      </c>
      <c r="W490" t="n">
        <v>62</v>
      </c>
      <c r="Y490">
        <f>B490 &amp; " vs. " &amp; H490</f>
        <v/>
      </c>
      <c r="Z490">
        <f>TRIM(LEFT(Y490, FIND("vs.", Y490)-1))</f>
        <v/>
      </c>
      <c r="AA490">
        <f>TRIM(MID(Y490, FIND(" vs. ", Y490)+4, 100))</f>
        <v/>
      </c>
      <c r="AB490" s="35">
        <f>IF(Q490 &gt; VALUE(AC490), "O " &amp; AC490, IF(Q490 &lt; VALUE(AC490), "U " &amp; AC490, AC490))</f>
        <v/>
      </c>
      <c r="AC490" s="15">
        <f>IF(OR(O490="-", P490="-"), "-", MROUND(O490 + P490, 0.5))</f>
        <v/>
      </c>
      <c r="AD490" s="15">
        <f>VALUE(TRIM(RIGHT(AF490, LEN(AF490) - FIND(" ", AF490))))</f>
        <v/>
      </c>
      <c r="AE490" s="15">
        <f>LEFT(AF490,FIND(" ",AF490)-1)</f>
        <v/>
      </c>
      <c r="AF490" s="15">
        <f>IF(OR(O490="-", P490="-"), "-",
IF(MROUND(ABS(O490-P490),0.5)&lt;=0.5,
IF(O490&gt;P490, B490 &amp; " ML", H490 &amp; " ML"),
IF(MROUND(ABS(O490-P490),0.5)=1,
IF(O490&gt;P490, H490 &amp; " +1.5", B490 &amp; " +1.5"),
IF(O490&gt;P490, B490 &amp; " -1.5", H490 &amp; " -1.5")
)
)
)</f>
        <v/>
      </c>
      <c r="AG490" s="15">
        <f>_xlfn.LET(
_xlpm.winA, O490^1.83 / (O490^1.83 + P490^1.83),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91">
      <c r="A491" s="81" t="n">
        <v>46135</v>
      </c>
      <c r="B491" t="inlineStr">
        <is>
          <t>YANKEES</t>
        </is>
      </c>
      <c r="C491">
        <f>VLOOKUP(B491, 'MLB Data'!$B$5:$D$34, 3, FALSE)</f>
        <v/>
      </c>
      <c r="D491" t="inlineStr">
        <is>
          <t>CAM SCHLITTLER</t>
        </is>
      </c>
      <c r="E491" t="n">
        <v>2.92</v>
      </c>
      <c r="F491" s="17">
        <f>VLOOKUP(B491, 'MLB Data'!$F$2:$H$34, 3, FALSE)</f>
        <v/>
      </c>
      <c r="G491" s="17">
        <f>IF((E491*0.6+F491*0.4)&lt;2.5, 2.8, IF((E491*0.6+F491*0.4)&gt;5.5, 5.2, (E491*0.6+F491*0.4)))</f>
        <v/>
      </c>
      <c r="H491" t="inlineStr">
        <is>
          <t>RED SOX</t>
        </is>
      </c>
      <c r="I491">
        <f>VLOOKUP(H491, 'MLB Data'!$B$5:$D$34, 3, FALSE)</f>
        <v/>
      </c>
      <c r="J491" t="inlineStr">
        <is>
          <t>PAYTON TOLLE</t>
        </is>
      </c>
      <c r="K491" t="n">
        <v>4.64</v>
      </c>
      <c r="L491" s="17">
        <f>VLOOKUP(H491, 'MLB Data'!$F$2:$H$34, 3, FALSE)</f>
        <v/>
      </c>
      <c r="M491" s="17">
        <f>IF((K491*0.6+L491*0.4)&lt;2.5, 2.8, IF((K491*0.6+L491*0.4)&gt;5.5, 5.2, (K491*0.6+L491*0.4)))</f>
        <v/>
      </c>
      <c r="O491" s="18">
        <f>(C491/100) * 4.1 * (M491 / 4.2) * T491</f>
        <v/>
      </c>
      <c r="P491" s="18">
        <f>(I491/100) * 4.05 * (G491 / 4.2) * T491</f>
        <v/>
      </c>
      <c r="Q491" s="18">
        <f>(O491+P491)</f>
        <v/>
      </c>
      <c r="S491" s="15">
        <f>H491</f>
        <v/>
      </c>
      <c r="T491" s="19">
        <f>IF(S491="ROCKIES",1.13,IF(S491="ATHLETICS",1.03,IF(S491="ROYALS",1.03,IF(S491="TWINS",1,IF(S491="TIGERS",1,IF(S491="MARLINS",1.01,IF(S491="REDS",1.05,IF(S491="RED SOX",1.04,IF(S491="YANKEES",1.02,IF(S491="DODGERS",0.99,IF(S491="PADRES",0.96,IF(S491="CUBS",0.98,IF(S491="GIANTS",0.97,IF(S491="MARINERS",0.94,IF(S491="RANGERS",1,IF(S491="ASTROS",0.99,IF(S491="BRAVES",1,IF(S491="METS",0.96,IF(S491="PHILLIES",1.02,IF(S491="BLUE JAYS",1.01,IF(S491="ORIOLES",0.99,IF(S491="RAYS",1.01,IF(S491="GUARDIANS",0.99,IF(S491="WHITE SOX",0.98,IF(S491="ANGELS",1.01,IF(S491="D-BACKS",1.01,IF(S491="BREWERS",0.99,IF(S491="CARDINALS",0.96,IF(S491="PIRATES",1.02,IF(S491="NATIONALS",1,1))))))))))))))))))))))))))))))*IF(W491="",1,(1+((W491-70)/10*0.035)))*IF(U491="DOME",1,IF(U491="IN",1-(V491*0.01),IF(U491="OUT",1+(V491*0.01),IF(OR(U491="L-R",U491="R-L"),1+(V491*0.005),1))))</f>
        <v/>
      </c>
      <c r="U491" t="inlineStr">
        <is>
          <t>CROSS</t>
        </is>
      </c>
      <c r="V491" t="n">
        <v>5</v>
      </c>
      <c r="W491" t="n">
        <v>59</v>
      </c>
      <c r="Y491">
        <f>B491 &amp; " vs. " &amp; H491</f>
        <v/>
      </c>
      <c r="Z491">
        <f>TRIM(LEFT(Y491, FIND("vs.", Y491)-1))</f>
        <v/>
      </c>
      <c r="AA491">
        <f>TRIM(MID(Y491, FIND(" vs. ", Y491)+4, 100))</f>
        <v/>
      </c>
      <c r="AB491" s="35">
        <f>IF(Q491 &gt; VALUE(AC491), "O " &amp; AC491, IF(Q491 &lt; VALUE(AC491), "U " &amp; AC491, AC491))</f>
        <v/>
      </c>
      <c r="AC491" s="15">
        <f>IF(OR(O491="-", P491="-"), "-", MROUND(O491 + P491, 0.5))</f>
        <v/>
      </c>
      <c r="AD491" s="15">
        <f>VALUE(TRIM(RIGHT(AF491, LEN(AF491) - FIND(" ", AF491))))</f>
        <v/>
      </c>
      <c r="AE491" s="15">
        <f>LEFT(AF491,FIND(" ",AF491)-1)</f>
        <v/>
      </c>
      <c r="AF491" s="15">
        <f>IF(OR(O491="-", P491="-"), "-",
IF(MROUND(ABS(O491-P491),0.5)&lt;=0.5,
IF(O491&gt;P491, B491 &amp; " ML", H491 &amp; " ML"),
IF(MROUND(ABS(O491-P491),0.5)=1,
IF(O491&gt;P491, H491 &amp; " +1.5", B491 &amp; " +1.5"),
IF(O491&gt;P491, B491 &amp; " -1.5", H491 &amp; " -1.5")
)
)
)</f>
        <v/>
      </c>
      <c r="AG491" s="15">
        <f>_xlfn.LET(
_xlpm.winA, O491^1.83 / (O491^1.83 + P491^1.83),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92">
      <c r="A492" s="81" t="n">
        <v>46135</v>
      </c>
      <c r="B492" t="inlineStr">
        <is>
          <t>TWINS</t>
        </is>
      </c>
      <c r="C492">
        <f>VLOOKUP(B492, 'MLB Data'!$B$5:$D$34, 3, FALSE)</f>
        <v/>
      </c>
      <c r="D492" t="inlineStr">
        <is>
          <t>JOE RYAN</t>
        </is>
      </c>
      <c r="E492" t="n">
        <v>3.536</v>
      </c>
      <c r="F492" s="17">
        <f>VLOOKUP(B492, 'MLB Data'!$F$2:$H$34, 3, FALSE)</f>
        <v/>
      </c>
      <c r="G492" s="17">
        <f>IF((E492*0.6+F492*0.4)&lt;2.5, 2.8, IF((E492*0.6+F492*0.4)&gt;5.5, 5.2, (E492*0.6+F492*0.4)))</f>
        <v/>
      </c>
      <c r="H492" t="inlineStr">
        <is>
          <t>METS</t>
        </is>
      </c>
      <c r="I492">
        <f>VLOOKUP(H492, 'MLB Data'!$B$5:$D$34, 3, FALSE)</f>
        <v/>
      </c>
      <c r="J492" t="inlineStr">
        <is>
          <t>CHRISTIAN SCOTT</t>
        </is>
      </c>
      <c r="L492" s="17">
        <f>VLOOKUP(H492, 'MLB Data'!$F$2:$H$34, 3, FALSE)</f>
        <v/>
      </c>
      <c r="M492" s="17">
        <f>IF((K492*0.6+L492*0.4)&lt;2.5, 2.8, IF((K492*0.6+L492*0.4)&gt;5.5, 5.2, (K492*0.6+L492*0.4)))</f>
        <v/>
      </c>
      <c r="O492" s="18">
        <f>(C492/100) * 4.1 * (M492 / 4.2) * T492</f>
        <v/>
      </c>
      <c r="P492" s="18">
        <f>(I492/100) * 4.05 * (G492 / 4.2) * T492</f>
        <v/>
      </c>
      <c r="Q492" s="18">
        <f>(O492+P492)</f>
        <v/>
      </c>
      <c r="S492" s="15">
        <f>H492</f>
        <v/>
      </c>
      <c r="T492" s="19">
        <f>IF(S492="ROCKIES",1.13,IF(S492="ATHLETICS",1.03,IF(S492="ROYALS",1.03,IF(S492="TWINS",1,IF(S492="TIGERS",1,IF(S492="MARLINS",1.01,IF(S492="REDS",1.05,IF(S492="RED SOX",1.04,IF(S492="YANKEES",1.02,IF(S492="DODGERS",0.99,IF(S492="PADRES",0.96,IF(S492="CUBS",0.98,IF(S492="GIANTS",0.97,IF(S492="MARINERS",0.94,IF(S492="RANGERS",1,IF(S492="ASTROS",0.99,IF(S492="BRAVES",1,IF(S492="METS",0.96,IF(S492="PHILLIES",1.02,IF(S492="BLUE JAYS",1.01,IF(S492="ORIOLES",0.99,IF(S492="RAYS",1.01,IF(S492="GUARDIANS",0.99,IF(S492="WHITE SOX",0.98,IF(S492="ANGELS",1.01,IF(S492="D-BACKS",1.01,IF(S492="BREWERS",0.99,IF(S492="CARDINALS",0.96,IF(S492="PIRATES",1.02,IF(S492="NATIONALS",1,1))))))))))))))))))))))))))))))*IF(W492="",1,(1+((W492-70)/10*0.035)))*IF(U492="DOME",1,IF(U492="IN",1-(V492*0.01),IF(U492="OUT",1+(V492*0.01),IF(OR(U492="L-R",U492="R-L"),1+(V492*0.005),1))))</f>
        <v/>
      </c>
      <c r="U492" t="inlineStr">
        <is>
          <t>CROSS</t>
        </is>
      </c>
      <c r="V492" t="n">
        <v>9</v>
      </c>
      <c r="W492" t="n">
        <v>70</v>
      </c>
      <c r="Y492">
        <f>B492 &amp; " vs. " &amp; H492</f>
        <v/>
      </c>
      <c r="Z492">
        <f>TRIM(LEFT(Y492, FIND("vs.", Y492)-1))</f>
        <v/>
      </c>
      <c r="AA492">
        <f>TRIM(MID(Y492, FIND(" vs. ", Y492)+4, 100))</f>
        <v/>
      </c>
      <c r="AB492" s="35">
        <f>IF(Q492 &gt; VALUE(AC492), "O " &amp; AC492, IF(Q492 &lt; VALUE(AC492), "U " &amp; AC492, AC492))</f>
        <v/>
      </c>
      <c r="AC492" s="15">
        <f>IF(OR(O492="-", P492="-"), "-", MROUND(O492 + P492, 0.5))</f>
        <v/>
      </c>
      <c r="AD492" s="15">
        <f>VALUE(TRIM(RIGHT(AF492, LEN(AF492) - FIND(" ", AF492))))</f>
        <v/>
      </c>
      <c r="AE492" s="15">
        <f>LEFT(AF492,FIND(" ",AF492)-1)</f>
        <v/>
      </c>
      <c r="AF492" s="15">
        <f>IF(OR(O492="-", P492="-"), "-",
IF(MROUND(ABS(O492-P492),0.5)&lt;=0.5,
IF(O492&gt;P492, B492 &amp; " ML", H492 &amp; " ML"),
IF(MROUND(ABS(O492-P492),0.5)=1,
IF(O492&gt;P492, H492 &amp; " +1.5", B492 &amp; " +1.5"),
IF(O492&gt;P492, B492 &amp; " -1.5", H492 &amp; " -1.5")
)
)
)</f>
        <v/>
      </c>
      <c r="AG492" s="15">
        <f>_xlfn.LET(
_xlpm.winA, O492^1.83 / (O492^1.83 + P492^1.83),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93">
      <c r="A493" s="81" t="n">
        <v>46135</v>
      </c>
      <c r="B493" t="inlineStr">
        <is>
          <t>PIRATES</t>
        </is>
      </c>
      <c r="C493">
        <f>VLOOKUP(B493, 'MLB Data'!$B$5:$D$34, 3, FALSE)</f>
        <v/>
      </c>
      <c r="D493" t="inlineStr">
        <is>
          <t>BUBBA CHANDLER</t>
        </is>
      </c>
      <c r="E493" t="n">
        <v>3.2</v>
      </c>
      <c r="F493" s="17">
        <f>VLOOKUP(B493, 'MLB Data'!$F$2:$H$34, 3, FALSE)</f>
        <v/>
      </c>
      <c r="G493" s="17">
        <f>IF((E493*0.6+F493*0.4)&lt;2.5, 2.8, IF((E493*0.6+F493*0.4)&gt;5.5, 5.2, (E493*0.6+F493*0.4)))</f>
        <v/>
      </c>
      <c r="H493" t="inlineStr">
        <is>
          <t>RANGERS</t>
        </is>
      </c>
      <c r="I493">
        <f>VLOOKUP(H493, 'MLB Data'!$B$5:$D$34, 3, FALSE)</f>
        <v/>
      </c>
      <c r="J493" t="inlineStr">
        <is>
          <t>JACOB DEGROM</t>
        </is>
      </c>
      <c r="K493" t="n">
        <v>2.964</v>
      </c>
      <c r="L493" s="17">
        <f>VLOOKUP(H493, 'MLB Data'!$F$2:$H$34, 3, FALSE)</f>
        <v/>
      </c>
      <c r="M493" s="17">
        <f>IF((K493*0.6+L493*0.4)&lt;2.5, 2.8, IF((K493*0.6+L493*0.4)&gt;5.5, 5.2, (K493*0.6+L493*0.4)))</f>
        <v/>
      </c>
      <c r="O493" s="18">
        <f>(C493/100) * 4.1 * (M493 / 4.2) * T493</f>
        <v/>
      </c>
      <c r="P493" s="18">
        <f>(I493/100) * 4.05 * (G493 / 4.2) * T493</f>
        <v/>
      </c>
      <c r="Q493" s="18">
        <f>(O493+P493)</f>
        <v/>
      </c>
      <c r="S493" s="15">
        <f>H493</f>
        <v/>
      </c>
      <c r="T493" s="19">
        <f>IF(S493="ROCKIES",1.13,IF(S493="ATHLETICS",1.03,IF(S493="ROYALS",1.03,IF(S493="TWINS",1,IF(S493="TIGERS",1,IF(S493="MARLINS",1.01,IF(S493="REDS",1.05,IF(S493="RED SOX",1.04,IF(S493="YANKEES",1.02,IF(S493="DODGERS",0.99,IF(S493="PADRES",0.96,IF(S493="CUBS",0.98,IF(S493="GIANTS",0.97,IF(S493="MARINERS",0.94,IF(S493="RANGERS",1,IF(S493="ASTROS",0.99,IF(S493="BRAVES",1,IF(S493="METS",0.96,IF(S493="PHILLIES",1.02,IF(S493="BLUE JAYS",1.01,IF(S493="ORIOLES",0.99,IF(S493="RAYS",1.01,IF(S493="GUARDIANS",0.99,IF(S493="WHITE SOX",0.98,IF(S493="ANGELS",1.01,IF(S493="D-BACKS",1.01,IF(S493="BREWERS",0.99,IF(S493="CARDINALS",0.96,IF(S493="PIRATES",1.02,IF(S493="NATIONALS",1,1))))))))))))))))))))))))))))))*IF(W493="",1,(1+((W493-70)/10*0.035)))*IF(U493="DOME",1,IF(U493="IN",1-(V493*0.01),IF(U493="OUT",1+(V493*0.01),IF(OR(U493="L-R",U493="R-L"),1+(V493*0.005),1))))</f>
        <v/>
      </c>
      <c r="U493" t="inlineStr">
        <is>
          <t>DOME</t>
        </is>
      </c>
      <c r="V493" t="n">
        <v>0</v>
      </c>
      <c r="Y493">
        <f>B493 &amp; " vs. " &amp; H493</f>
        <v/>
      </c>
      <c r="Z493">
        <f>TRIM(LEFT(Y493, FIND("vs.", Y493)-1))</f>
        <v/>
      </c>
      <c r="AA493">
        <f>TRIM(MID(Y493, FIND(" vs. ", Y493)+4, 100))</f>
        <v/>
      </c>
      <c r="AB493" s="35">
        <f>IF(Q493 &gt; VALUE(AC493), "O " &amp; AC493, IF(Q493 &lt; VALUE(AC493), "U " &amp; AC493, AC493))</f>
        <v/>
      </c>
      <c r="AC493" s="15">
        <f>IF(OR(O493="-", P493="-"), "-", MROUND(O493 + P493, 0.5))</f>
        <v/>
      </c>
      <c r="AD493" s="15">
        <f>VALUE(TRIM(RIGHT(AF493, LEN(AF493) - FIND(" ", AF493))))</f>
        <v/>
      </c>
      <c r="AE493" s="15">
        <f>LEFT(AF493,FIND(" ",AF493)-1)</f>
        <v/>
      </c>
      <c r="AF493" s="15">
        <f>IF(OR(O493="-", P493="-"), "-",
IF(MROUND(ABS(O493-P493),0.5)&lt;=0.5,
IF(O493&gt;P493, B493 &amp; " ML", H493 &amp; " ML"),
IF(MROUND(ABS(O493-P493),0.5)=1,
IF(O493&gt;P493, H493 &amp; " +1.5", B493 &amp; " +1.5"),
IF(O493&gt;P493, B493 &amp; " -1.5", H493 &amp; " -1.5")
)
)
)</f>
        <v/>
      </c>
      <c r="AG493" s="15">
        <f>_xlfn.LET(
_xlpm.winA, O493^1.83 / (O493^1.83 + P493^1.83),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94">
      <c r="A494" s="81" t="n">
        <v>46146</v>
      </c>
      <c r="B494" t="inlineStr">
        <is>
          <t>METS</t>
        </is>
      </c>
      <c r="C494">
        <f>VLOOKUP(B494, 'MLB Data'!$B$5:$D$34, 3, FALSE)</f>
        <v/>
      </c>
      <c r="D494" t="inlineStr">
        <is>
          <t>HUASCAR BRAZOBÁN</t>
        </is>
      </c>
      <c r="E494" t="n">
        <v>2.89</v>
      </c>
      <c r="F494" s="17">
        <f>VLOOKUP(B494, 'MLB Data'!$F$2:$H$34, 3, FALSE)</f>
        <v/>
      </c>
      <c r="G494" s="17">
        <f>IF((E494*0.6+F494*0.4)&lt;2.5, 2.8, IF((E494*0.6+F494*0.4)&gt;5.5, 5.2, (E494*0.6+F494*0.4)))</f>
        <v/>
      </c>
      <c r="H494" t="inlineStr">
        <is>
          <t>ROCKIES</t>
        </is>
      </c>
      <c r="I494">
        <f>VLOOKUP(H494, 'MLB Data'!$B$5:$D$34, 3, FALSE)</f>
        <v/>
      </c>
      <c r="J494" t="inlineStr">
        <is>
          <t>TOMOYUKI SUGANO</t>
        </is>
      </c>
      <c r="K494" t="n">
        <v>3.732</v>
      </c>
      <c r="L494" s="17">
        <f>VLOOKUP(H494, 'MLB Data'!$F$2:$H$34, 3, FALSE)</f>
        <v/>
      </c>
      <c r="M494" s="17">
        <f>IF((K494*0.6+L494*0.4)&lt;2.5, 2.8, IF((K494*0.6+L494*0.4)&gt;5.5, 5.2, (K494*0.6+L494*0.4)))</f>
        <v/>
      </c>
      <c r="O494" s="18">
        <f>(C494/100) * 4.1 * (M494 / 4.2) * T494</f>
        <v/>
      </c>
      <c r="P494" s="18">
        <f>(I494/100) * 4.05 * (G494 / 4.2) * T494</f>
        <v/>
      </c>
      <c r="Q494" s="18">
        <f>(O494+P494)</f>
        <v/>
      </c>
      <c r="S494" s="15">
        <f>H494</f>
        <v/>
      </c>
      <c r="T494" s="19">
        <f>IF(S494="ROCKIES",1.13,IF(S494="ATHLETICS",1.03,IF(S494="ROYALS",1.03,IF(S494="TWINS",1,IF(S494="TIGERS",1,IF(S494="MARLINS",1.01,IF(S494="REDS",1.05,IF(S494="RED SOX",1.04,IF(S494="YANKEES",1.02,IF(S494="DODGERS",0.99,IF(S494="PADRES",0.96,IF(S494="CUBS",0.98,IF(S494="GIANTS",0.97,IF(S494="MARINERS",0.94,IF(S494="RANGERS",1,IF(S494="ASTROS",0.99,IF(S494="BRAVES",1,IF(S494="METS",0.96,IF(S494="PHILLIES",1.02,IF(S494="BLUE JAYS",1.01,IF(S494="ORIOLES",0.99,IF(S494="RAYS",1.01,IF(S494="GUARDIANS",0.99,IF(S494="WHITE SOX",0.98,IF(S494="ANGELS",1.01,IF(S494="D-BACKS",1.01,IF(S494="BREWERS",0.99,IF(S494="CARDINALS",0.96,IF(S494="PIRATES",1.02,IF(S494="NATIONALS",1,1))))))))))))))))))))))))))))))*IF(W494="",1,(1+((W494-70)/10*0.035)))*IF(U494="DOME",1,IF(U494="IN",1-(V494*0.01),IF(U494="OUT",1+(V494*0.01),IF(OR(U494="L-R",U494="R-L"),1+(V494*0.005),1))))</f>
        <v/>
      </c>
      <c r="U494" t="inlineStr">
        <is>
          <t>IN</t>
        </is>
      </c>
      <c r="V494" t="n">
        <v>12</v>
      </c>
      <c r="W494" t="n">
        <v>67</v>
      </c>
      <c r="Y494">
        <f>B494 &amp; " vs. " &amp; H494</f>
        <v/>
      </c>
      <c r="Z494">
        <f>TRIM(LEFT(Y494, FIND("vs.", Y494)-1))</f>
        <v/>
      </c>
      <c r="AA494">
        <f>TRIM(MID(Y494, FIND(" vs. ", Y494)+4, 100))</f>
        <v/>
      </c>
      <c r="AB494" s="35">
        <f>IF(Q494 &gt; VALUE(AC494), "O " &amp; AC494, IF(Q494 &lt; VALUE(AC494), "U " &amp; AC494, AC494))</f>
        <v/>
      </c>
      <c r="AC494" s="15">
        <f>IF(OR(O494="-", P494="-"), "-", MROUND(O494 + P494, 0.5))</f>
        <v/>
      </c>
      <c r="AD494" s="15">
        <f>VALUE(TRIM(RIGHT(AF494, LEN(AF494) - FIND(" ", AF494))))</f>
        <v/>
      </c>
      <c r="AE494" s="15">
        <f>LEFT(AF494,FIND(" ",AF494)-1)</f>
        <v/>
      </c>
      <c r="AF494" s="15">
        <f>IF(OR(O494="-", P494="-"), "-",
IF(MROUND(ABS(O494-P494),0.5)&lt;=0.5,
IF(O494&gt;P494, B494 &amp; " ML", H494 &amp; " ML"),
IF(MROUND(ABS(O494-P494),0.5)=1,
IF(O494&gt;P494, H494 &amp; " +1.5", B494 &amp; " +1.5"),
IF(O494&gt;P494, B494 &amp; " -1.5", H494 &amp; " -1.5")
)
)
)</f>
        <v/>
      </c>
      <c r="AG494" s="15">
        <f>_xlfn.LET(
_xlpm.winA, O494^1.83 / (O494^1.83 + P494^1.83),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95">
      <c r="A495" s="81" t="n">
        <v>46146</v>
      </c>
      <c r="B495" t="inlineStr">
        <is>
          <t>RED SOX</t>
        </is>
      </c>
      <c r="C495">
        <f>VLOOKUP(B495, 'MLB Data'!$B$5:$D$34, 3, FALSE)</f>
        <v/>
      </c>
      <c r="D495" t="inlineStr">
        <is>
          <t>PAYTON TOLLE</t>
        </is>
      </c>
      <c r="E495" t="n">
        <v>3.68</v>
      </c>
      <c r="F495" s="17">
        <f>VLOOKUP(B495, 'MLB Data'!$F$2:$H$34, 3, FALSE)</f>
        <v/>
      </c>
      <c r="G495" s="17">
        <f>IF((E495*0.6+F495*0.4)&lt;2.5, 2.8, IF((E495*0.6+F495*0.4)&gt;5.5, 5.2, (E495*0.6+F495*0.4)))</f>
        <v/>
      </c>
      <c r="H495" t="inlineStr">
        <is>
          <t>TIGERS</t>
        </is>
      </c>
      <c r="I495">
        <f>VLOOKUP(H495, 'MLB Data'!$B$5:$D$34, 3, FALSE)</f>
        <v/>
      </c>
      <c r="J495" t="inlineStr">
        <is>
          <t>TYLER HOLTON</t>
        </is>
      </c>
      <c r="K495" t="n">
        <v>4</v>
      </c>
      <c r="L495" s="17">
        <f>VLOOKUP(H495, 'MLB Data'!$F$2:$H$34, 3, FALSE)</f>
        <v/>
      </c>
      <c r="M495" s="17">
        <f>IF((K495*0.6+L495*0.4)&lt;2.5, 2.8, IF((K495*0.6+L495*0.4)&gt;5.5, 5.2, (K495*0.6+L495*0.4)))</f>
        <v/>
      </c>
      <c r="O495" s="18">
        <f>(C495/100) * 4.1 * (M495 / 4.2) * T495</f>
        <v/>
      </c>
      <c r="P495" s="18">
        <f>(I495/100) * 4.05 * (G495 / 4.2) * T495</f>
        <v/>
      </c>
      <c r="Q495" s="18">
        <f>(O495+P495)</f>
        <v/>
      </c>
      <c r="S495" s="15">
        <f>H495</f>
        <v/>
      </c>
      <c r="T495" s="19">
        <f>IF(S495="ROCKIES",1.13,IF(S495="ATHLETICS",1.03,IF(S495="ROYALS",1.03,IF(S495="TWINS",1,IF(S495="TIGERS",1,IF(S495="MARLINS",1.01,IF(S495="REDS",1.05,IF(S495="RED SOX",1.04,IF(S495="YANKEES",1.02,IF(S495="DODGERS",0.99,IF(S495="PADRES",0.96,IF(S495="CUBS",0.98,IF(S495="GIANTS",0.97,IF(S495="MARINERS",0.94,IF(S495="RANGERS",1,IF(S495="ASTROS",0.99,IF(S495="BRAVES",1,IF(S495="METS",0.96,IF(S495="PHILLIES",1.02,IF(S495="BLUE JAYS",1.01,IF(S495="ORIOLES",0.99,IF(S495="RAYS",1.01,IF(S495="GUARDIANS",0.99,IF(S495="WHITE SOX",0.98,IF(S495="ANGELS",1.01,IF(S495="D-BACKS",1.01,IF(S495="BREWERS",0.99,IF(S495="CARDINALS",0.96,IF(S495="PIRATES",1.02,IF(S495="NATIONALS",1,1))))))))))))))))))))))))))))))*IF(W495="",1,(1+((W495-70)/10*0.035)))*IF(U495="DOME",1,IF(U495="IN",1-(V495*0.01),IF(U495="OUT",1+(V495*0.01),IF(OR(U495="L-R",U495="R-L"),1+(V495*0.005),1))))</f>
        <v/>
      </c>
      <c r="U495" t="inlineStr">
        <is>
          <t>IN</t>
        </is>
      </c>
      <c r="V495" t="n">
        <v>13</v>
      </c>
      <c r="W495" t="n">
        <v>73</v>
      </c>
      <c r="Y495">
        <f>B495 &amp; " vs. " &amp; H495</f>
        <v/>
      </c>
      <c r="Z495">
        <f>TRIM(LEFT(Y495, FIND("vs.", Y495)-1))</f>
        <v/>
      </c>
      <c r="AA495">
        <f>TRIM(MID(Y495, FIND(" vs. ", Y495)+4, 100))</f>
        <v/>
      </c>
      <c r="AB495" s="35">
        <f>IF(Q495 &gt; VALUE(AC495), "O " &amp; AC495, IF(Q495 &lt; VALUE(AC495), "U " &amp; AC495, AC495))</f>
        <v/>
      </c>
      <c r="AC495" s="15">
        <f>IF(OR(O495="-", P495="-"), "-", MROUND(O495 + P495, 0.5))</f>
        <v/>
      </c>
      <c r="AD495" s="15">
        <f>VALUE(TRIM(RIGHT(AF495, LEN(AF495) - FIND(" ", AF495))))</f>
        <v/>
      </c>
      <c r="AE495" s="15">
        <f>LEFT(AF495,FIND(" ",AF495)-1)</f>
        <v/>
      </c>
      <c r="AF495" s="15">
        <f>IF(OR(O495="-", P495="-"), "-",
IF(MROUND(ABS(O495-P495),0.5)&lt;=0.5,
IF(O495&gt;P495, B495 &amp; " ML", H495 &amp; " ML"),
IF(MROUND(ABS(O495-P495),0.5)=1,
IF(O495&gt;P495, H495 &amp; " +1.5", B495 &amp; " +1.5"),
IF(O495&gt;P495, B495 &amp; " -1.5", H495 &amp; " -1.5")
)
)
)</f>
        <v/>
      </c>
      <c r="AG495" s="15">
        <f>_xlfn.LET(
_xlpm.winA, O495^1.83 / (O495^1.83 + P495^1.83),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96">
      <c r="A496" s="81" t="n">
        <v>46146</v>
      </c>
      <c r="B496" t="inlineStr">
        <is>
          <t>BLUE JAYS</t>
        </is>
      </c>
      <c r="C496">
        <f>VLOOKUP(B496, 'MLB Data'!$B$5:$D$34, 3, FALSE)</f>
        <v/>
      </c>
      <c r="D496" t="inlineStr">
        <is>
          <t>ERIC LAUER</t>
        </is>
      </c>
      <c r="E496" t="n">
        <v>5.8</v>
      </c>
      <c r="F496" s="17">
        <f>VLOOKUP(B496, 'MLB Data'!$F$2:$H$34, 3, FALSE)</f>
        <v/>
      </c>
      <c r="G496" s="17">
        <f>IF((E496*0.6+F496*0.4)&lt;2.5, 2.8, IF((E496*0.6+F496*0.4)&gt;5.5, 5.2, (E496*0.6+F496*0.4)))</f>
        <v/>
      </c>
      <c r="H496" t="inlineStr">
        <is>
          <t>RAYS</t>
        </is>
      </c>
      <c r="I496">
        <f>VLOOKUP(H496, 'MLB Data'!$B$5:$D$34, 3, FALSE)</f>
        <v/>
      </c>
      <c r="J496" t="inlineStr">
        <is>
          <t>NICK MARTINEZ</t>
        </is>
      </c>
      <c r="K496" t="n">
        <v>3.39</v>
      </c>
      <c r="L496" s="17">
        <f>VLOOKUP(H496, 'MLB Data'!$F$2:$H$34, 3, FALSE)</f>
        <v/>
      </c>
      <c r="M496" s="17">
        <f>IF((K496*0.6+L496*0.4)&lt;2.5, 2.8, IF((K496*0.6+L496*0.4)&gt;5.5, 5.2, (K496*0.6+L496*0.4)))</f>
        <v/>
      </c>
      <c r="O496" s="18">
        <f>(C496/100) * 4.1 * (M496 / 4.2) * T496</f>
        <v/>
      </c>
      <c r="P496" s="18">
        <f>(I496/100) * 4.05 * (G496 / 4.2) * T496</f>
        <v/>
      </c>
      <c r="Q496" s="18">
        <f>(O496+P496)</f>
        <v/>
      </c>
      <c r="S496" s="15">
        <f>H496</f>
        <v/>
      </c>
      <c r="T496" s="19">
        <f>IF(S496="ROCKIES",1.13,IF(S496="ATHLETICS",1.03,IF(S496="ROYALS",1.03,IF(S496="TWINS",1,IF(S496="TIGERS",1,IF(S496="MARLINS",1.01,IF(S496="REDS",1.05,IF(S496="RED SOX",1.04,IF(S496="YANKEES",1.02,IF(S496="DODGERS",0.99,IF(S496="PADRES",0.96,IF(S496="CUBS",0.98,IF(S496="GIANTS",0.97,IF(S496="MARINERS",0.94,IF(S496="RANGERS",1,IF(S496="ASTROS",0.99,IF(S496="BRAVES",1,IF(S496="METS",0.96,IF(S496="PHILLIES",1.02,IF(S496="BLUE JAYS",1.01,IF(S496="ORIOLES",0.99,IF(S496="RAYS",1.01,IF(S496="GUARDIANS",0.99,IF(S496="WHITE SOX",0.98,IF(S496="ANGELS",1.01,IF(S496="D-BACKS",1.01,IF(S496="BREWERS",0.99,IF(S496="CARDINALS",0.96,IF(S496="PIRATES",1.02,IF(S496="NATIONALS",1,1))))))))))))))))))))))))))))))*IF(W496="",1,(1+((W496-70)/10*0.035)))*IF(U496="DOME",1,IF(U496="IN",1-(V496*0.01),IF(U496="OUT",1+(V496*0.01),IF(OR(U496="L-R",U496="R-L"),1+(V496*0.005),1))))</f>
        <v/>
      </c>
      <c r="U496" t="inlineStr">
        <is>
          <t>DOME</t>
        </is>
      </c>
      <c r="V496" t="n">
        <v>0</v>
      </c>
      <c r="Y496">
        <f>B496 &amp; " vs. " &amp; H496</f>
        <v/>
      </c>
      <c r="Z496">
        <f>TRIM(LEFT(Y496, FIND("vs.", Y496)-1))</f>
        <v/>
      </c>
      <c r="AA496">
        <f>TRIM(MID(Y496, FIND(" vs. ", Y496)+4, 100))</f>
        <v/>
      </c>
      <c r="AB496" s="35">
        <f>IF(Q496 &gt; VALUE(AC496), "O " &amp; AC496, IF(Q496 &lt; VALUE(AC496), "U " &amp; AC496, AC496))</f>
        <v/>
      </c>
      <c r="AC496" s="15">
        <f>IF(OR(O496="-", P496="-"), "-", MROUND(O496 + P496, 0.5))</f>
        <v/>
      </c>
      <c r="AD496" s="15">
        <f>VALUE(TRIM(RIGHT(AF496, LEN(AF496) - FIND(" ", AF496))))</f>
        <v/>
      </c>
      <c r="AE496" s="15">
        <f>LEFT(AF496,FIND(" ",AF496)-1)</f>
        <v/>
      </c>
      <c r="AF496" s="15">
        <f>IF(OR(O496="-", P496="-"), "-",
IF(MROUND(ABS(O496-P496),0.5)&lt;=0.5,
IF(O496&gt;P496, B496 &amp; " ML", H496 &amp; " ML"),
IF(MROUND(ABS(O496-P496),0.5)=1,
IF(O496&gt;P496, H496 &amp; " +1.5", B496 &amp; " +1.5"),
IF(O496&gt;P496, B496 &amp; " -1.5", H496 &amp; " -1.5")
)
)
)</f>
        <v/>
      </c>
      <c r="AG496" s="15">
        <f>_xlfn.LET(
_xlpm.winA, O496^1.83 / (O496^1.83 + P496^1.83),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97">
      <c r="A497" s="81" t="n">
        <v>46146</v>
      </c>
      <c r="B497" t="inlineStr">
        <is>
          <t>PHILLIES</t>
        </is>
      </c>
      <c r="C497">
        <f>VLOOKUP(B497, 'MLB Data'!$B$5:$D$34, 3, FALSE)</f>
        <v/>
      </c>
      <c r="D497" t="inlineStr">
        <is>
          <t>AARON NOLA</t>
        </is>
      </c>
      <c r="E497" t="n">
        <v>5.504</v>
      </c>
      <c r="F497" s="17">
        <f>VLOOKUP(B497, 'MLB Data'!$F$2:$H$34, 3, FALSE)</f>
        <v/>
      </c>
      <c r="G497" s="17">
        <f>IF((E497*0.6+F497*0.4)&lt;2.5, 2.8, IF((E497*0.6+F497*0.4)&gt;5.5, 5.2, (E497*0.6+F497*0.4)))</f>
        <v/>
      </c>
      <c r="H497" t="inlineStr">
        <is>
          <t>MARLINS</t>
        </is>
      </c>
      <c r="I497">
        <f>VLOOKUP(H497, 'MLB Data'!$B$5:$D$34, 3, FALSE)</f>
        <v/>
      </c>
      <c r="J497" t="inlineStr">
        <is>
          <t>JANSON JUNK</t>
        </is>
      </c>
      <c r="K497" t="n">
        <v>3.282</v>
      </c>
      <c r="L497" s="17">
        <f>VLOOKUP(H497, 'MLB Data'!$F$2:$H$34, 3, FALSE)</f>
        <v/>
      </c>
      <c r="M497" s="17">
        <f>IF((K497*0.6+L497*0.4)&lt;2.5, 2.8, IF((K497*0.6+L497*0.4)&gt;5.5, 5.2, (K497*0.6+L497*0.4)))</f>
        <v/>
      </c>
      <c r="O497" s="18">
        <f>(C497/100) * 4.1 * (M497 / 4.2) * T497</f>
        <v/>
      </c>
      <c r="P497" s="18">
        <f>(I497/100) * 4.05 * (G497 / 4.2) * T497</f>
        <v/>
      </c>
      <c r="Q497" s="18">
        <f>(O497+P497)</f>
        <v/>
      </c>
      <c r="S497" s="15">
        <f>H497</f>
        <v/>
      </c>
      <c r="T497" s="19">
        <f>IF(S497="ROCKIES",1.13,IF(S497="ATHLETICS",1.03,IF(S497="ROYALS",1.03,IF(S497="TWINS",1,IF(S497="TIGERS",1,IF(S497="MARLINS",1.01,IF(S497="REDS",1.05,IF(S497="RED SOX",1.04,IF(S497="YANKEES",1.02,IF(S497="DODGERS",0.99,IF(S497="PADRES",0.96,IF(S497="CUBS",0.98,IF(S497="GIANTS",0.97,IF(S497="MARINERS",0.94,IF(S497="RANGERS",1,IF(S497="ASTROS",0.99,IF(S497="BRAVES",1,IF(S497="METS",0.96,IF(S497="PHILLIES",1.02,IF(S497="BLUE JAYS",1.01,IF(S497="ORIOLES",0.99,IF(S497="RAYS",1.01,IF(S497="GUARDIANS",0.99,IF(S497="WHITE SOX",0.98,IF(S497="ANGELS",1.01,IF(S497="D-BACKS",1.01,IF(S497="BREWERS",0.99,IF(S497="CARDINALS",0.96,IF(S497="PIRATES",1.02,IF(S497="NATIONALS",1,1))))))))))))))))))))))))))))))*IF(W497="",1,(1+((W497-70)/10*0.035)))*IF(U497="DOME",1,IF(U497="IN",1-(V497*0.01),IF(U497="OUT",1+(V497*0.01),IF(OR(U497="L-R",U497="R-L"),1+(V497*0.005),1))))</f>
        <v/>
      </c>
      <c r="U497" t="inlineStr">
        <is>
          <t>DOME</t>
        </is>
      </c>
      <c r="V497" t="n">
        <v>0</v>
      </c>
      <c r="Y497">
        <f>B497 &amp; " vs. " &amp; H497</f>
        <v/>
      </c>
      <c r="Z497">
        <f>TRIM(LEFT(Y497, FIND("vs.", Y497)-1))</f>
        <v/>
      </c>
      <c r="AA497">
        <f>TRIM(MID(Y497, FIND(" vs. ", Y497)+4, 100))</f>
        <v/>
      </c>
      <c r="AB497" s="35">
        <f>IF(Q497 &gt; VALUE(AC497), "O " &amp; AC497, IF(Q497 &lt; VALUE(AC497), "U " &amp; AC497, AC497))</f>
        <v/>
      </c>
      <c r="AC497" s="15">
        <f>IF(OR(O497="-", P497="-"), "-", MROUND(O497 + P497, 0.5))</f>
        <v/>
      </c>
      <c r="AD497" s="15">
        <f>VALUE(TRIM(RIGHT(AF497, LEN(AF497) - FIND(" ", AF497))))</f>
        <v/>
      </c>
      <c r="AE497" s="15">
        <f>LEFT(AF497,FIND(" ",AF497)-1)</f>
        <v/>
      </c>
      <c r="AF497" s="15">
        <f>IF(OR(O497="-", P497="-"), "-",
IF(MROUND(ABS(O497-P497),0.5)&lt;=0.5,
IF(O497&gt;P497, B497 &amp; " ML", H497 &amp; " ML"),
IF(MROUND(ABS(O497-P497),0.5)=1,
IF(O497&gt;P497, H497 &amp; " +1.5", B497 &amp; " +1.5"),
IF(O497&gt;P497, B497 &amp; " -1.5", H497 &amp; " -1.5")
)
)
)</f>
        <v/>
      </c>
      <c r="AG497" s="15">
        <f>_xlfn.LET(
_xlpm.winA, O497^1.83 / (O497^1.83 + P497^1.83),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98">
      <c r="A498" s="81" t="n">
        <v>46146</v>
      </c>
      <c r="B498" t="inlineStr">
        <is>
          <t>ORIOLES</t>
        </is>
      </c>
      <c r="C498">
        <f>VLOOKUP(B498, 'MLB Data'!$B$5:$D$34, 3, FALSE)</f>
        <v/>
      </c>
      <c r="D498" t="inlineStr">
        <is>
          <t>SHANE BAZ</t>
        </is>
      </c>
      <c r="E498" t="n">
        <v>4.032</v>
      </c>
      <c r="F498" s="17">
        <f>VLOOKUP(B498, 'MLB Data'!$F$2:$H$34, 3, FALSE)</f>
        <v/>
      </c>
      <c r="G498" s="17">
        <f>IF((E498*0.6+F498*0.4)&lt;2.5, 2.8, IF((E498*0.6+F498*0.4)&gt;5.5, 5.2, (E498*0.6+F498*0.4)))</f>
        <v/>
      </c>
      <c r="H498" t="inlineStr">
        <is>
          <t>YANKEES</t>
        </is>
      </c>
      <c r="I498">
        <f>VLOOKUP(H498, 'MLB Data'!$B$5:$D$34, 3, FALSE)</f>
        <v/>
      </c>
      <c r="J498" t="inlineStr">
        <is>
          <t>CAM SCHLITTLER</t>
        </is>
      </c>
      <c r="K498" t="n">
        <v>2.8</v>
      </c>
      <c r="L498" s="17">
        <f>VLOOKUP(H498, 'MLB Data'!$F$2:$H$34, 3, FALSE)</f>
        <v/>
      </c>
      <c r="M498" s="17">
        <f>IF((K498*0.6+L498*0.4)&lt;2.5, 2.8, IF((K498*0.6+L498*0.4)&gt;5.5, 5.2, (K498*0.6+L498*0.4)))</f>
        <v/>
      </c>
      <c r="O498" s="18">
        <f>(C498/100) * 4.1 * (M498 / 4.2) * T498</f>
        <v/>
      </c>
      <c r="P498" s="18">
        <f>(I498/100) * 4.05 * (G498 / 4.2) * T498</f>
        <v/>
      </c>
      <c r="Q498" s="18">
        <f>(O498+P498)</f>
        <v/>
      </c>
      <c r="S498" s="15">
        <f>H498</f>
        <v/>
      </c>
      <c r="T498" s="19">
        <f>IF(S498="ROCKIES",1.13,IF(S498="ATHLETICS",1.03,IF(S498="ROYALS",1.03,IF(S498="TWINS",1,IF(S498="TIGERS",1,IF(S498="MARLINS",1.01,IF(S498="REDS",1.05,IF(S498="RED SOX",1.04,IF(S498="YANKEES",1.02,IF(S498="DODGERS",0.99,IF(S498="PADRES",0.96,IF(S498="CUBS",0.98,IF(S498="GIANTS",0.97,IF(S498="MARINERS",0.94,IF(S498="RANGERS",1,IF(S498="ASTROS",0.99,IF(S498="BRAVES",1,IF(S498="METS",0.96,IF(S498="PHILLIES",1.02,IF(S498="BLUE JAYS",1.01,IF(S498="ORIOLES",0.99,IF(S498="RAYS",1.01,IF(S498="GUARDIANS",0.99,IF(S498="WHITE SOX",0.98,IF(S498="ANGELS",1.01,IF(S498="D-BACKS",1.01,IF(S498="BREWERS",0.99,IF(S498="CARDINALS",0.96,IF(S498="PIRATES",1.02,IF(S498="NATIONALS",1,1))))))))))))))))))))))))))))))*IF(W498="",1,(1+((W498-70)/10*0.035)))*IF(U498="DOME",1,IF(U498="IN",1-(V498*0.01),IF(U498="OUT",1+(V498*0.01),IF(OR(U498="L-R",U498="R-L"),1+(V498*0.005),1))))</f>
        <v/>
      </c>
      <c r="U498" t="inlineStr">
        <is>
          <t>IN</t>
        </is>
      </c>
      <c r="V498" t="n">
        <v>10</v>
      </c>
      <c r="W498" t="n">
        <v>70</v>
      </c>
      <c r="Y498">
        <f>B498 &amp; " vs. " &amp; H498</f>
        <v/>
      </c>
      <c r="Z498">
        <f>TRIM(LEFT(Y498, FIND("vs.", Y498)-1))</f>
        <v/>
      </c>
      <c r="AA498">
        <f>TRIM(MID(Y498, FIND(" vs. ", Y498)+4, 100))</f>
        <v/>
      </c>
      <c r="AB498" s="35">
        <f>IF(Q498 &gt; VALUE(AC498), "O " &amp; AC498, IF(Q498 &lt; VALUE(AC498), "U " &amp; AC498, AC498))</f>
        <v/>
      </c>
      <c r="AC498" s="15">
        <f>IF(OR(O498="-", P498="-"), "-", MROUND(O498 + P498, 0.5))</f>
        <v/>
      </c>
      <c r="AD498" s="15">
        <f>VALUE(TRIM(RIGHT(AF498, LEN(AF498) - FIND(" ", AF498))))</f>
        <v/>
      </c>
      <c r="AE498" s="15">
        <f>LEFT(AF498,FIND(" ",AF498)-1)</f>
        <v/>
      </c>
      <c r="AF498" s="15">
        <f>IF(OR(O498="-", P498="-"), "-",
IF(MROUND(ABS(O498-P498),0.5)&lt;=0.5,
IF(O498&gt;P498, B498 &amp; " ML", H498 &amp; " ML"),
IF(MROUND(ABS(O498-P498),0.5)=1,
IF(O498&gt;P498, H498 &amp; " +1.5", B498 &amp; " +1.5"),
IF(O498&gt;P498, B498 &amp; " -1.5", H498 &amp; " -1.5")
)
)
)</f>
        <v/>
      </c>
      <c r="AG498" s="15">
        <f>_xlfn.LET(
_xlpm.winA, O498^1.83 / (O498^1.83 + P498^1.83),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499">
      <c r="A499" s="81" t="n">
        <v>46146</v>
      </c>
      <c r="B499" t="inlineStr">
        <is>
          <t>REDS</t>
        </is>
      </c>
      <c r="C499">
        <f>VLOOKUP(B499, 'MLB Data'!$B$5:$D$34, 3, FALSE)</f>
        <v/>
      </c>
      <c r="D499" t="inlineStr">
        <is>
          <t>CHASE PETTY</t>
        </is>
      </c>
      <c r="E499" t="n">
        <v>7.03</v>
      </c>
      <c r="F499" s="17">
        <f>VLOOKUP(B499, 'MLB Data'!$F$2:$H$34, 3, FALSE)</f>
        <v/>
      </c>
      <c r="G499" s="17">
        <f>IF((E499*0.6+F499*0.4)&lt;2.5, 2.8, IF((E499*0.6+F499*0.4)&gt;5.5, 5.2, (E499*0.6+F499*0.4)))</f>
        <v/>
      </c>
      <c r="H499" t="inlineStr">
        <is>
          <t>CUBS</t>
        </is>
      </c>
      <c r="I499">
        <f>VLOOKUP(H499, 'MLB Data'!$B$5:$D$34, 3, FALSE)</f>
        <v/>
      </c>
      <c r="J499" t="inlineStr">
        <is>
          <t>EDWARD CABRERA</t>
        </is>
      </c>
      <c r="K499" t="n">
        <v>3.753</v>
      </c>
      <c r="L499" s="17">
        <f>VLOOKUP(H499, 'MLB Data'!$F$2:$H$34, 3, FALSE)</f>
        <v/>
      </c>
      <c r="M499" s="17">
        <f>IF((K499*0.6+L499*0.4)&lt;2.5, 2.8, IF((K499*0.6+L499*0.4)&gt;5.5, 5.2, (K499*0.6+L499*0.4)))</f>
        <v/>
      </c>
      <c r="O499" s="18">
        <f>(C499/100) * 4.1 * (M499 / 4.2) * T499</f>
        <v/>
      </c>
      <c r="P499" s="18">
        <f>(I499/100) * 4.05 * (G499 / 4.2) * T499</f>
        <v/>
      </c>
      <c r="Q499" s="18">
        <f>(O499+P499)</f>
        <v/>
      </c>
      <c r="S499" s="15">
        <f>H499</f>
        <v/>
      </c>
      <c r="T499" s="19">
        <f>IF(S499="ROCKIES",1.13,IF(S499="ATHLETICS",1.03,IF(S499="ROYALS",1.03,IF(S499="TWINS",1,IF(S499="TIGERS",1,IF(S499="MARLINS",1.01,IF(S499="REDS",1.05,IF(S499="RED SOX",1.04,IF(S499="YANKEES",1.02,IF(S499="DODGERS",0.99,IF(S499="PADRES",0.96,IF(S499="CUBS",0.98,IF(S499="GIANTS",0.97,IF(S499="MARINERS",0.94,IF(S499="RANGERS",1,IF(S499="ASTROS",0.99,IF(S499="BRAVES",1,IF(S499="METS",0.96,IF(S499="PHILLIES",1.02,IF(S499="BLUE JAYS",1.01,IF(S499="ORIOLES",0.99,IF(S499="RAYS",1.01,IF(S499="GUARDIANS",0.99,IF(S499="WHITE SOX",0.98,IF(S499="ANGELS",1.01,IF(S499="D-BACKS",1.01,IF(S499="BREWERS",0.99,IF(S499="CARDINALS",0.96,IF(S499="PIRATES",1.02,IF(S499="NATIONALS",1,1))))))))))))))))))))))))))))))*IF(W499="",1,(1+((W499-70)/10*0.035)))*IF(U499="DOME",1,IF(U499="IN",1-(V499*0.01),IF(U499="OUT",1+(V499*0.01),IF(OR(U499="L-R",U499="R-L"),1+(V499*0.005),1))))</f>
        <v/>
      </c>
      <c r="U499" t="inlineStr">
        <is>
          <t>OUT</t>
        </is>
      </c>
      <c r="V499" t="n">
        <v>15</v>
      </c>
      <c r="W499" t="n">
        <v>79</v>
      </c>
      <c r="Y499">
        <f>B499 &amp; " vs. " &amp; H499</f>
        <v/>
      </c>
      <c r="Z499">
        <f>TRIM(LEFT(Y499, FIND("vs.", Y499)-1))</f>
        <v/>
      </c>
      <c r="AA499">
        <f>TRIM(MID(Y499, FIND(" vs. ", Y499)+4, 100))</f>
        <v/>
      </c>
      <c r="AB499" s="35">
        <f>IF(Q499 &gt; VALUE(AC499), "O " &amp; AC499, IF(Q499 &lt; VALUE(AC499), "U " &amp; AC499, AC499))</f>
        <v/>
      </c>
      <c r="AC499" s="15">
        <f>IF(OR(O499="-", P499="-"), "-", MROUND(O499 + P499, 0.5))</f>
        <v/>
      </c>
      <c r="AD499" s="15">
        <f>VALUE(TRIM(RIGHT(AF499, LEN(AF499) - FIND(" ", AF499))))</f>
        <v/>
      </c>
      <c r="AE499" s="15">
        <f>LEFT(AF499,FIND(" ",AF499)-1)</f>
        <v/>
      </c>
      <c r="AF499" s="15">
        <f>IF(OR(O499="-", P499="-"), "-",
IF(MROUND(ABS(O499-P499),0.5)&lt;=0.5,
IF(O499&gt;P499, B499 &amp; " ML", H499 &amp; " ML"),
IF(MROUND(ABS(O499-P499),0.5)=1,
IF(O499&gt;P499, H499 &amp; " +1.5", B499 &amp; " +1.5"),
IF(O499&gt;P499, B499 &amp; " -1.5", H499 &amp; " -1.5")
)
)
)</f>
        <v/>
      </c>
      <c r="AG499" s="15">
        <f>_xlfn.LET(
_xlpm.winA, O499^1.83 / (O499^1.83 + P499^1.83),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500">
      <c r="A500" s="81" t="n">
        <v>46146</v>
      </c>
      <c r="B500" t="inlineStr">
        <is>
          <t>GUARDIANS</t>
        </is>
      </c>
      <c r="C500">
        <f>VLOOKUP(B500, 'MLB Data'!$B$5:$D$34, 3, FALSE)</f>
        <v/>
      </c>
      <c r="D500" t="inlineStr">
        <is>
          <t>TANNER BIBEE</t>
        </is>
      </c>
      <c r="E500" t="n">
        <v>4.255</v>
      </c>
      <c r="F500" s="17">
        <f>VLOOKUP(B500, 'MLB Data'!$F$2:$H$34, 3, FALSE)</f>
        <v/>
      </c>
      <c r="G500" s="17">
        <f>IF((E500*0.6+F500*0.4)&lt;2.5, 2.8, IF((E500*0.6+F500*0.4)&gt;5.5, 5.2, (E500*0.6+F500*0.4)))</f>
        <v/>
      </c>
      <c r="H500" t="inlineStr">
        <is>
          <t>ROYALS</t>
        </is>
      </c>
      <c r="I500">
        <f>VLOOKUP(H500, 'MLB Data'!$B$5:$D$34, 3, FALSE)</f>
        <v/>
      </c>
      <c r="J500" t="inlineStr">
        <is>
          <t>MICHAEL WACHA</t>
        </is>
      </c>
      <c r="K500" t="n">
        <v>4.02</v>
      </c>
      <c r="L500" s="17">
        <f>VLOOKUP(H500, 'MLB Data'!$F$2:$H$34, 3, FALSE)</f>
        <v/>
      </c>
      <c r="M500" s="17">
        <f>IF((K500*0.6+L500*0.4)&lt;2.5, 2.8, IF((K500*0.6+L500*0.4)&gt;5.5, 5.2, (K500*0.6+L500*0.4)))</f>
        <v/>
      </c>
      <c r="O500" s="18">
        <f>(C500/100) * 4.1 * (M500 / 4.2) * T500</f>
        <v/>
      </c>
      <c r="P500" s="18">
        <f>(I500/100) * 4.05 * (G500 / 4.2) * T500</f>
        <v/>
      </c>
      <c r="Q500" s="18">
        <f>(O500+P500)</f>
        <v/>
      </c>
      <c r="S500" s="15">
        <f>H500</f>
        <v/>
      </c>
      <c r="T500" s="19">
        <f>IF(S500="ROCKIES",1.13,IF(S500="ATHLETICS",1.03,IF(S500="ROYALS",1.03,IF(S500="TWINS",1,IF(S500="TIGERS",1,IF(S500="MARLINS",1.01,IF(S500="REDS",1.05,IF(S500="RED SOX",1.04,IF(S500="YANKEES",1.02,IF(S500="DODGERS",0.99,IF(S500="PADRES",0.96,IF(S500="CUBS",0.98,IF(S500="GIANTS",0.97,IF(S500="MARINERS",0.94,IF(S500="RANGERS",1,IF(S500="ASTROS",0.99,IF(S500="BRAVES",1,IF(S500="METS",0.96,IF(S500="PHILLIES",1.02,IF(S500="BLUE JAYS",1.01,IF(S500="ORIOLES",0.99,IF(S500="RAYS",1.01,IF(S500="GUARDIANS",0.99,IF(S500="WHITE SOX",0.98,IF(S500="ANGELS",1.01,IF(S500="D-BACKS",1.01,IF(S500="BREWERS",0.99,IF(S500="CARDINALS",0.96,IF(S500="PIRATES",1.02,IF(S500="NATIONALS",1,1))))))))))))))))))))))))))))))*IF(W500="",1,(1+((W500-70)/10*0.035)))*IF(U500="DOME",1,IF(U500="IN",1-(V500*0.01),IF(U500="OUT",1+(V500*0.01),IF(OR(U500="L-R",U500="R-L"),1+(V500*0.005),1))))</f>
        <v/>
      </c>
      <c r="U500" t="inlineStr">
        <is>
          <t>IN</t>
        </is>
      </c>
      <c r="V500" t="n">
        <v>9</v>
      </c>
      <c r="W500" t="n">
        <v>77</v>
      </c>
      <c r="Y500">
        <f>B500 &amp; " vs. " &amp; H500</f>
        <v/>
      </c>
      <c r="Z500">
        <f>TRIM(LEFT(Y500, FIND("vs.", Y500)-1))</f>
        <v/>
      </c>
      <c r="AA500">
        <f>TRIM(MID(Y500, FIND(" vs. ", Y500)+4, 100))</f>
        <v/>
      </c>
      <c r="AB500" s="35">
        <f>IF(Q500 &gt; VALUE(AC500), "O " &amp; AC500, IF(Q500 &lt; VALUE(AC500), "U " &amp; AC500, AC500))</f>
        <v/>
      </c>
      <c r="AC500" s="15">
        <f>IF(OR(O500="-", P500="-"), "-", MROUND(O500 + P500, 0.5))</f>
        <v/>
      </c>
      <c r="AD500" s="15">
        <f>VALUE(TRIM(RIGHT(AF500, LEN(AF500) - FIND(" ", AF500))))</f>
        <v/>
      </c>
      <c r="AE500" s="15">
        <f>LEFT(AF500,FIND(" ",AF500)-1)</f>
        <v/>
      </c>
      <c r="AF500" s="15">
        <f>IF(OR(O500="-", P500="-"), "-",
IF(MROUND(ABS(O500-P500),0.5)&lt;=0.5,
IF(O500&gt;P500, B500 &amp; " ML", H500 &amp; " ML"),
IF(MROUND(ABS(O500-P500),0.5)=1,
IF(O500&gt;P500, H500 &amp; " +1.5", B500 &amp; " +1.5"),
IF(O500&gt;P500, B500 &amp; " -1.5", H500 &amp; " -1.5")
)
)
)</f>
        <v/>
      </c>
      <c r="AG500" s="15">
        <f>_xlfn.LET(
_xlpm.winA, O500^1.83 / (O500^1.83 + P500^1.83),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501">
      <c r="A501" s="81" t="n">
        <v>46146</v>
      </c>
      <c r="B501" t="inlineStr">
        <is>
          <t>BREWERS</t>
        </is>
      </c>
      <c r="C501">
        <f>VLOOKUP(B501, 'MLB Data'!$B$5:$D$34, 3, FALSE)</f>
        <v/>
      </c>
      <c r="D501" t="inlineStr">
        <is>
          <t>CHAD PATRICK</t>
        </is>
      </c>
      <c r="E501" t="n">
        <v>3.348</v>
      </c>
      <c r="F501" s="17">
        <f>VLOOKUP(B501, 'MLB Data'!$F$2:$H$34, 3, FALSE)</f>
        <v/>
      </c>
      <c r="G501" s="17">
        <f>IF((E501*0.6+F501*0.4)&lt;2.5, 2.8, IF((E501*0.6+F501*0.4)&gt;5.5, 5.2, (E501*0.6+F501*0.4)))</f>
        <v/>
      </c>
      <c r="H501" t="inlineStr">
        <is>
          <t>CARDINALS</t>
        </is>
      </c>
      <c r="I501">
        <f>VLOOKUP(H501, 'MLB Data'!$B$5:$D$34, 3, FALSE)</f>
        <v/>
      </c>
      <c r="J501" t="inlineStr">
        <is>
          <t>KYLE LEAHY</t>
        </is>
      </c>
      <c r="K501" t="n">
        <v>4.923</v>
      </c>
      <c r="L501" s="17">
        <f>VLOOKUP(H501, 'MLB Data'!$F$2:$H$34, 3, FALSE)</f>
        <v/>
      </c>
      <c r="M501" s="17">
        <f>IF((K501*0.6+L501*0.4)&lt;2.5, 2.8, IF((K501*0.6+L501*0.4)&gt;5.5, 5.2, (K501*0.6+L501*0.4)))</f>
        <v/>
      </c>
      <c r="O501" s="18">
        <f>(C501/100) * 4.1 * (M501 / 4.2) * T501</f>
        <v/>
      </c>
      <c r="P501" s="18">
        <f>(I501/100) * 4.05 * (G501 / 4.2) * T501</f>
        <v/>
      </c>
      <c r="Q501" s="18">
        <f>(O501+P501)</f>
        <v/>
      </c>
      <c r="S501" s="15">
        <f>H501</f>
        <v/>
      </c>
      <c r="T501" s="19">
        <f>IF(S501="ROCKIES",1.13,IF(S501="ATHLETICS",1.03,IF(S501="ROYALS",1.03,IF(S501="TWINS",1,IF(S501="TIGERS",1,IF(S501="MARLINS",1.01,IF(S501="REDS",1.05,IF(S501="RED SOX",1.04,IF(S501="YANKEES",1.02,IF(S501="DODGERS",0.99,IF(S501="PADRES",0.96,IF(S501="CUBS",0.98,IF(S501="GIANTS",0.97,IF(S501="MARINERS",0.94,IF(S501="RANGERS",1,IF(S501="ASTROS",0.99,IF(S501="BRAVES",1,IF(S501="METS",0.96,IF(S501="PHILLIES",1.02,IF(S501="BLUE JAYS",1.01,IF(S501="ORIOLES",0.99,IF(S501="RAYS",1.01,IF(S501="GUARDIANS",0.99,IF(S501="WHITE SOX",0.98,IF(S501="ANGELS",1.01,IF(S501="D-BACKS",1.01,IF(S501="BREWERS",0.99,IF(S501="CARDINALS",0.96,IF(S501="PIRATES",1.02,IF(S501="NATIONALS",1,1))))))))))))))))))))))))))))))*IF(W501="",1,(1+((W501-70)/10*0.035)))*IF(U501="DOME",1,IF(U501="IN",1-(V501*0.01),IF(U501="OUT",1+(V501*0.01),IF(OR(U501="L-R",U501="R-L"),1+(V501*0.005),1))))</f>
        <v/>
      </c>
      <c r="U501" t="inlineStr">
        <is>
          <t>OUT</t>
        </is>
      </c>
      <c r="V501" t="n">
        <v>13</v>
      </c>
      <c r="W501" t="n">
        <v>78</v>
      </c>
      <c r="Y501">
        <f>B501 &amp; " vs. " &amp; H501</f>
        <v/>
      </c>
      <c r="Z501">
        <f>TRIM(LEFT(Y501, FIND("vs.", Y501)-1))</f>
        <v/>
      </c>
      <c r="AA501">
        <f>TRIM(MID(Y501, FIND(" vs. ", Y501)+4, 100))</f>
        <v/>
      </c>
      <c r="AB501" s="35">
        <f>IF(Q501 &gt; VALUE(AC501), "O " &amp; AC501, IF(Q501 &lt; VALUE(AC501), "U " &amp; AC501, AC501))</f>
        <v/>
      </c>
      <c r="AC501" s="15">
        <f>IF(OR(O501="-", P501="-"), "-", MROUND(O501 + P501, 0.5))</f>
        <v/>
      </c>
      <c r="AD501" s="15">
        <f>VALUE(TRIM(RIGHT(AF501, LEN(AF501) - FIND(" ", AF501))))</f>
        <v/>
      </c>
      <c r="AE501" s="15">
        <f>LEFT(AF501,FIND(" ",AF501)-1)</f>
        <v/>
      </c>
      <c r="AF501" s="15">
        <f>IF(OR(O501="-", P501="-"), "-",
IF(MROUND(ABS(O501-P501),0.5)&lt;=0.5,
IF(O501&gt;P501, B501 &amp; " ML", H501 &amp; " ML"),
IF(MROUND(ABS(O501-P501),0.5)=1,
IF(O501&gt;P501, H501 &amp; " +1.5", B501 &amp; " +1.5"),
IF(O501&gt;P501, B501 &amp; " -1.5", H501 &amp; " -1.5")
)
)
)</f>
        <v/>
      </c>
      <c r="AG501" s="15">
        <f>_xlfn.LET(
_xlpm.winA, O501^1.83 / (O501^1.83 + P501^1.83),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502">
      <c r="A502" s="81" t="n">
        <v>46146</v>
      </c>
      <c r="B502" t="inlineStr">
        <is>
          <t>DODGERS</t>
        </is>
      </c>
      <c r="C502">
        <f>VLOOKUP(B502, 'MLB Data'!$B$5:$D$34, 3, FALSE)</f>
        <v/>
      </c>
      <c r="D502" t="inlineStr">
        <is>
          <t>YOSHINOBU YAMAMOTO</t>
        </is>
      </c>
      <c r="E502" t="n">
        <v>3.156</v>
      </c>
      <c r="F502" s="17">
        <f>VLOOKUP(B502, 'MLB Data'!$F$2:$H$34, 3, FALSE)</f>
        <v/>
      </c>
      <c r="G502" s="17">
        <f>IF((E502*0.6+F502*0.4)&lt;2.5, 2.8, IF((E502*0.6+F502*0.4)&gt;5.5, 5.2, (E502*0.6+F502*0.4)))</f>
        <v/>
      </c>
      <c r="H502" t="inlineStr">
        <is>
          <t>ASTROS</t>
        </is>
      </c>
      <c r="I502">
        <f>VLOOKUP(H502, 'MLB Data'!$B$5:$D$34, 3, FALSE)</f>
        <v/>
      </c>
      <c r="J502" t="inlineStr">
        <is>
          <t>STEVEN OKERT</t>
        </is>
      </c>
      <c r="K502" t="n">
        <v>4.75</v>
      </c>
      <c r="L502" s="17">
        <f>VLOOKUP(H502, 'MLB Data'!$F$2:$H$34, 3, FALSE)</f>
        <v/>
      </c>
      <c r="M502" s="17">
        <f>IF((K502*0.6+L502*0.4)&lt;2.5, 2.8, IF((K502*0.6+L502*0.4)&gt;5.5, 5.2, (K502*0.6+L502*0.4)))</f>
        <v/>
      </c>
      <c r="O502" s="18">
        <f>(C502/100) * 4.1 * (M502 / 4.2) * T502</f>
        <v/>
      </c>
      <c r="P502" s="18">
        <f>(I502/100) * 4.05 * (G502 / 4.2) * T502</f>
        <v/>
      </c>
      <c r="Q502" s="18">
        <f>(O502+P502)</f>
        <v/>
      </c>
      <c r="S502" s="15">
        <f>H502</f>
        <v/>
      </c>
      <c r="T502" s="19">
        <f>IF(S502="ROCKIES",1.13,IF(S502="ATHLETICS",1.03,IF(S502="ROYALS",1.03,IF(S502="TWINS",1,IF(S502="TIGERS",1,IF(S502="MARLINS",1.01,IF(S502="REDS",1.05,IF(S502="RED SOX",1.04,IF(S502="YANKEES",1.02,IF(S502="DODGERS",0.99,IF(S502="PADRES",0.96,IF(S502="CUBS",0.98,IF(S502="GIANTS",0.97,IF(S502="MARINERS",0.94,IF(S502="RANGERS",1,IF(S502="ASTROS",0.99,IF(S502="BRAVES",1,IF(S502="METS",0.96,IF(S502="PHILLIES",1.02,IF(S502="BLUE JAYS",1.01,IF(S502="ORIOLES",0.99,IF(S502="RAYS",1.01,IF(S502="GUARDIANS",0.99,IF(S502="WHITE SOX",0.98,IF(S502="ANGELS",1.01,IF(S502="D-BACKS",1.01,IF(S502="BREWERS",0.99,IF(S502="CARDINALS",0.96,IF(S502="PIRATES",1.02,IF(S502="NATIONALS",1,1))))))))))))))))))))))))))))))*IF(W502="",1,(1+((W502-70)/10*0.035)))*IF(U502="DOME",1,IF(U502="IN",1-(V502*0.01),IF(U502="OUT",1+(V502*0.01),IF(OR(U502="L-R",U502="R-L"),1+(V502*0.005),1))))</f>
        <v/>
      </c>
      <c r="U502" t="inlineStr">
        <is>
          <t>DOME</t>
        </is>
      </c>
      <c r="V502" t="n">
        <v>0</v>
      </c>
      <c r="Y502">
        <f>B502 &amp; " vs. " &amp; H502</f>
        <v/>
      </c>
      <c r="Z502">
        <f>TRIM(LEFT(Y502, FIND("vs.", Y502)-1))</f>
        <v/>
      </c>
      <c r="AA502">
        <f>TRIM(MID(Y502, FIND(" vs. ", Y502)+4, 100))</f>
        <v/>
      </c>
      <c r="AB502" s="35">
        <f>IF(Q502 &gt; VALUE(AC502), "O " &amp; AC502, IF(Q502 &lt; VALUE(AC502), "U " &amp; AC502, AC502))</f>
        <v/>
      </c>
      <c r="AC502" s="15">
        <f>IF(OR(O502="-", P502="-"), "-", MROUND(O502 + P502, 0.5))</f>
        <v/>
      </c>
      <c r="AD502" s="15">
        <f>VALUE(TRIM(RIGHT(AF502, LEN(AF502) - FIND(" ", AF502))))</f>
        <v/>
      </c>
      <c r="AE502" s="15">
        <f>LEFT(AF502,FIND(" ",AF502)-1)</f>
        <v/>
      </c>
      <c r="AF502" s="15">
        <f>IF(OR(O502="-", P502="-"), "-",
IF(MROUND(ABS(O502-P502),0.5)&lt;=0.5,
IF(O502&gt;P502, B502 &amp; " ML", H502 &amp; " ML"),
IF(MROUND(ABS(O502-P502),0.5)=1,
IF(O502&gt;P502, H502 &amp; " +1.5", B502 &amp; " +1.5"),
IF(O502&gt;P502, B502 &amp; " -1.5", H502 &amp; " -1.5")
)
)
)</f>
        <v/>
      </c>
      <c r="AG502" s="15">
        <f>_xlfn.LET(
_xlpm.winA, O502^1.83 / (O502^1.83 + P502^1.83),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503">
      <c r="A503" s="81" t="n">
        <v>46146</v>
      </c>
      <c r="B503" t="inlineStr">
        <is>
          <t>WHITE SOX</t>
        </is>
      </c>
      <c r="C503">
        <f>VLOOKUP(B503, 'MLB Data'!$B$5:$D$34, 3, FALSE)</f>
        <v/>
      </c>
      <c r="D503" t="inlineStr">
        <is>
          <t>DAVIS MARTIN</t>
        </is>
      </c>
      <c r="E503" t="n">
        <v>3.02</v>
      </c>
      <c r="F503" s="17">
        <f>VLOOKUP(B503, 'MLB Data'!$F$2:$H$34, 3, FALSE)</f>
        <v/>
      </c>
      <c r="G503" s="17">
        <f>IF((E503*0.6+F503*0.4)&lt;2.5, 2.8, IF((E503*0.6+F503*0.4)&gt;5.5, 5.2, (E503*0.6+F503*0.4)))</f>
        <v/>
      </c>
      <c r="H503" t="inlineStr">
        <is>
          <t>ANGELS</t>
        </is>
      </c>
      <c r="I503">
        <f>VLOOKUP(H503, 'MLB Data'!$B$5:$D$34, 3, FALSE)</f>
        <v/>
      </c>
      <c r="J503" t="inlineStr">
        <is>
          <t>JOSÉ SORIANO</t>
        </is>
      </c>
      <c r="K503" t="n">
        <v>2.8</v>
      </c>
      <c r="L503" s="17">
        <f>VLOOKUP(H503, 'MLB Data'!$F$2:$H$34, 3, FALSE)</f>
        <v/>
      </c>
      <c r="M503" s="17">
        <f>IF((K503*0.6+L503*0.4)&lt;2.5, 2.8, IF((K503*0.6+L503*0.4)&gt;5.5, 5.2, (K503*0.6+L503*0.4)))</f>
        <v/>
      </c>
      <c r="O503" s="18">
        <f>(C503/100) * 4.1 * (M503 / 4.2) * T503</f>
        <v/>
      </c>
      <c r="P503" s="18">
        <f>(I503/100) * 4.05 * (G503 / 4.2) * T503</f>
        <v/>
      </c>
      <c r="Q503" s="18">
        <f>(O503+P503)</f>
        <v/>
      </c>
      <c r="S503" s="15">
        <f>H503</f>
        <v/>
      </c>
      <c r="T503" s="19">
        <f>IF(S503="ROCKIES",1.13,IF(S503="ATHLETICS",1.03,IF(S503="ROYALS",1.03,IF(S503="TWINS",1,IF(S503="TIGERS",1,IF(S503="MARLINS",1.01,IF(S503="REDS",1.05,IF(S503="RED SOX",1.04,IF(S503="YANKEES",1.02,IF(S503="DODGERS",0.99,IF(S503="PADRES",0.96,IF(S503="CUBS",0.98,IF(S503="GIANTS",0.97,IF(S503="MARINERS",0.94,IF(S503="RANGERS",1,IF(S503="ASTROS",0.99,IF(S503="BRAVES",1,IF(S503="METS",0.96,IF(S503="PHILLIES",1.02,IF(S503="BLUE JAYS",1.01,IF(S503="ORIOLES",0.99,IF(S503="RAYS",1.01,IF(S503="GUARDIANS",0.99,IF(S503="WHITE SOX",0.98,IF(S503="ANGELS",1.01,IF(S503="D-BACKS",1.01,IF(S503="BREWERS",0.99,IF(S503="CARDINALS",0.96,IF(S503="PIRATES",1.02,IF(S503="NATIONALS",1,1))))))))))))))))))))))))))))))*IF(W503="",1,(1+((W503-70)/10*0.035)))*IF(U503="DOME",1,IF(U503="IN",1-(V503*0.01),IF(U503="OUT",1+(V503*0.01),IF(OR(U503="L-R",U503="R-L"),1+(V503*0.005),1))))</f>
        <v/>
      </c>
      <c r="U503" t="inlineStr">
        <is>
          <t>OUT</t>
        </is>
      </c>
      <c r="V503" t="n">
        <v>10</v>
      </c>
      <c r="W503" t="n">
        <v>60</v>
      </c>
      <c r="Y503">
        <f>B503 &amp; " vs. " &amp; H503</f>
        <v/>
      </c>
      <c r="Z503">
        <f>TRIM(LEFT(Y503, FIND("vs.", Y503)-1))</f>
        <v/>
      </c>
      <c r="AA503">
        <f>TRIM(MID(Y503, FIND(" vs. ", Y503)+4, 100))</f>
        <v/>
      </c>
      <c r="AB503" s="35">
        <f>IF(Q503 &gt; VALUE(AC503), "O " &amp; AC503, IF(Q503 &lt; VALUE(AC503), "U " &amp; AC503, AC503))</f>
        <v/>
      </c>
      <c r="AC503" s="15">
        <f>IF(OR(O503="-", P503="-"), "-", MROUND(O503 + P503, 0.5))</f>
        <v/>
      </c>
      <c r="AD503" s="15">
        <f>VALUE(TRIM(RIGHT(AF503, LEN(AF503) - FIND(" ", AF503))))</f>
        <v/>
      </c>
      <c r="AE503" s="15">
        <f>LEFT(AF503,FIND(" ",AF503)-1)</f>
        <v/>
      </c>
      <c r="AF503" s="15">
        <f>IF(OR(O503="-", P503="-"), "-",
IF(MROUND(ABS(O503-P503),0.5)&lt;=0.5,
IF(O503&gt;P503, B503 &amp; " ML", H503 &amp; " ML"),
IF(MROUND(ABS(O503-P503),0.5)=1,
IF(O503&gt;P503, H503 &amp; " +1.5", B503 &amp; " +1.5"),
IF(O503&gt;P503, B503 &amp; " -1.5", H503 &amp; " -1.5")
)
)
)</f>
        <v/>
      </c>
      <c r="AG503" s="15">
        <f>_xlfn.LET(
_xlpm.winA, O503^1.83 / (O503^1.83 + P503^1.83),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504">
      <c r="A504" s="81" t="n">
        <v>46146</v>
      </c>
      <c r="B504" t="inlineStr">
        <is>
          <t>BRAVES</t>
        </is>
      </c>
      <c r="C504">
        <f>VLOOKUP(B504, 'MLB Data'!$B$5:$D$34, 3, FALSE)</f>
        <v/>
      </c>
      <c r="D504" t="inlineStr">
        <is>
          <t>JR RITCHIE</t>
        </is>
      </c>
      <c r="E504" t="n">
        <v>5.18</v>
      </c>
      <c r="F504" s="17">
        <f>VLOOKUP(B504, 'MLB Data'!$F$2:$H$34, 3, FALSE)</f>
        <v/>
      </c>
      <c r="G504" s="17">
        <f>IF((E504*0.6+F504*0.4)&lt;2.5, 2.8, IF((E504*0.6+F504*0.4)&gt;5.5, 5.2, (E504*0.6+F504*0.4)))</f>
        <v/>
      </c>
      <c r="H504" t="inlineStr">
        <is>
          <t>MARINERS</t>
        </is>
      </c>
      <c r="I504">
        <f>VLOOKUP(H504, 'MLB Data'!$B$5:$D$34, 3, FALSE)</f>
        <v/>
      </c>
      <c r="J504" t="inlineStr">
        <is>
          <t>LOGAN GILBERT</t>
        </is>
      </c>
      <c r="K504" t="n">
        <v>3.099</v>
      </c>
      <c r="L504" s="17">
        <f>VLOOKUP(H504, 'MLB Data'!$F$2:$H$34, 3, FALSE)</f>
        <v/>
      </c>
      <c r="M504" s="17">
        <f>IF((K504*0.6+L504*0.4)&lt;2.5, 2.8, IF((K504*0.6+L504*0.4)&gt;5.5, 5.2, (K504*0.6+L504*0.4)))</f>
        <v/>
      </c>
      <c r="O504" s="18">
        <f>(C504/100) * 4.1 * (M504 / 4.2) * T504</f>
        <v/>
      </c>
      <c r="P504" s="18">
        <f>(I504/100) * 4.05 * (G504 / 4.2) * T504</f>
        <v/>
      </c>
      <c r="Q504" s="18">
        <f>(O504+P504)</f>
        <v/>
      </c>
      <c r="S504" s="15">
        <f>H504</f>
        <v/>
      </c>
      <c r="T504" s="19">
        <f>IF(S504="ROCKIES",1.13,IF(S504="ATHLETICS",1.03,IF(S504="ROYALS",1.03,IF(S504="TWINS",1,IF(S504="TIGERS",1,IF(S504="MARLINS",1.01,IF(S504="REDS",1.05,IF(S504="RED SOX",1.04,IF(S504="YANKEES",1.02,IF(S504="DODGERS",0.99,IF(S504="PADRES",0.96,IF(S504="CUBS",0.98,IF(S504="GIANTS",0.97,IF(S504="MARINERS",0.94,IF(S504="RANGERS",1,IF(S504="ASTROS",0.99,IF(S504="BRAVES",1,IF(S504="METS",0.96,IF(S504="PHILLIES",1.02,IF(S504="BLUE JAYS",1.01,IF(S504="ORIOLES",0.99,IF(S504="RAYS",1.01,IF(S504="GUARDIANS",0.99,IF(S504="WHITE SOX",0.98,IF(S504="ANGELS",1.01,IF(S504="D-BACKS",1.01,IF(S504="BREWERS",0.99,IF(S504="CARDINALS",0.96,IF(S504="PIRATES",1.02,IF(S504="NATIONALS",1,1))))))))))))))))))))))))))))))*IF(W504="",1,(1+((W504-70)/10*0.035)))*IF(U504="DOME",1,IF(U504="IN",1-(V504*0.01),IF(U504="OUT",1+(V504*0.01),IF(OR(U504="L-R",U504="R-L"),1+(V504*0.005),1))))</f>
        <v/>
      </c>
      <c r="U504" t="inlineStr">
        <is>
          <t>IN</t>
        </is>
      </c>
      <c r="V504" t="n">
        <v>5</v>
      </c>
      <c r="W504" t="n">
        <v>74</v>
      </c>
      <c r="Y504">
        <f>B504 &amp; " vs. " &amp; H504</f>
        <v/>
      </c>
      <c r="Z504">
        <f>TRIM(LEFT(Y504, FIND("vs.", Y504)-1))</f>
        <v/>
      </c>
      <c r="AA504">
        <f>TRIM(MID(Y504, FIND(" vs. ", Y504)+4, 100))</f>
        <v/>
      </c>
      <c r="AB504" s="35">
        <f>IF(Q504 &gt; VALUE(AC504), "O " &amp; AC504, IF(Q504 &lt; VALUE(AC504), "U " &amp; AC504, AC504))</f>
        <v/>
      </c>
      <c r="AC504" s="15">
        <f>IF(OR(O504="-", P504="-"), "-", MROUND(O504 + P504, 0.5))</f>
        <v/>
      </c>
      <c r="AD504" s="15">
        <f>VALUE(TRIM(RIGHT(AF504, LEN(AF504) - FIND(" ", AF504))))</f>
        <v/>
      </c>
      <c r="AE504" s="15">
        <f>LEFT(AF504,FIND(" ",AF504)-1)</f>
        <v/>
      </c>
      <c r="AF504" s="15">
        <f>IF(OR(O504="-", P504="-"), "-",
IF(MROUND(ABS(O504-P504),0.5)&lt;=0.5,
IF(O504&gt;P504, B504 &amp; " ML", H504 &amp; " ML"),
IF(MROUND(ABS(O504-P504),0.5)=1,
IF(O504&gt;P504, H504 &amp; " +1.5", B504 &amp; " +1.5"),
IF(O504&gt;P504, B504 &amp; " -1.5", H504 &amp; " -1.5")
)
)
)</f>
        <v/>
      </c>
      <c r="AG504" s="15">
        <f>_xlfn.LET(
_xlpm.winA, O504^1.83 / (O504^1.83 + P504^1.83),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  <row r="505">
      <c r="A505" s="81" t="n">
        <v>46146</v>
      </c>
      <c r="B505" t="inlineStr">
        <is>
          <t>PADRES</t>
        </is>
      </c>
      <c r="C505">
        <f>VLOOKUP(B505, 'MLB Data'!$B$5:$D$34, 3, FALSE)</f>
        <v/>
      </c>
      <c r="D505" t="inlineStr">
        <is>
          <t>RANDY VÁSQUEZ</t>
        </is>
      </c>
      <c r="E505" t="n">
        <v>4.025</v>
      </c>
      <c r="F505" s="17">
        <f>VLOOKUP(B505, 'MLB Data'!$F$2:$H$34, 3, FALSE)</f>
        <v/>
      </c>
      <c r="G505" s="17">
        <f>IF((E505*0.6+F505*0.4)&lt;2.5, 2.8, IF((E505*0.6+F505*0.4)&gt;5.5, 5.2, (E505*0.6+F505*0.4)))</f>
        <v/>
      </c>
      <c r="H505" t="inlineStr">
        <is>
          <t>GIANTS</t>
        </is>
      </c>
      <c r="I505">
        <f>VLOOKUP(H505, 'MLB Data'!$B$5:$D$34, 3, FALSE)</f>
        <v/>
      </c>
      <c r="J505" t="inlineStr">
        <is>
          <t>TREVOR MCDONALD</t>
        </is>
      </c>
      <c r="K505" t="n">
        <v>2.31</v>
      </c>
      <c r="L505" s="17">
        <f>VLOOKUP(H505, 'MLB Data'!$F$2:$H$34, 3, FALSE)</f>
        <v/>
      </c>
      <c r="M505" s="17">
        <f>IF((K505*0.6+L505*0.4)&lt;2.5, 2.8, IF((K505*0.6+L505*0.4)&gt;5.5, 5.2, (K505*0.6+L505*0.4)))</f>
        <v/>
      </c>
      <c r="O505" s="18">
        <f>(C505/100) * 4.1 * (M505 / 4.2) * T505</f>
        <v/>
      </c>
      <c r="P505" s="18">
        <f>(I505/100) * 4.05 * (G505 / 4.2) * T505</f>
        <v/>
      </c>
      <c r="Q505" s="18">
        <f>(O505+P505)</f>
        <v/>
      </c>
      <c r="S505" s="15">
        <f>H505</f>
        <v/>
      </c>
      <c r="T505" s="19">
        <f>IF(S505="ROCKIES",1.13,IF(S505="ATHLETICS",1.03,IF(S505="ROYALS",1.03,IF(S505="TWINS",1,IF(S505="TIGERS",1,IF(S505="MARLINS",1.01,IF(S505="REDS",1.05,IF(S505="RED SOX",1.04,IF(S505="YANKEES",1.02,IF(S505="DODGERS",0.99,IF(S505="PADRES",0.96,IF(S505="CUBS",0.98,IF(S505="GIANTS",0.97,IF(S505="MARINERS",0.94,IF(S505="RANGERS",1,IF(S505="ASTROS",0.99,IF(S505="BRAVES",1,IF(S505="METS",0.96,IF(S505="PHILLIES",1.02,IF(S505="BLUE JAYS",1.01,IF(S505="ORIOLES",0.99,IF(S505="RAYS",1.01,IF(S505="GUARDIANS",0.99,IF(S505="WHITE SOX",0.98,IF(S505="ANGELS",1.01,IF(S505="D-BACKS",1.01,IF(S505="BREWERS",0.99,IF(S505="CARDINALS",0.96,IF(S505="PIRATES",1.02,IF(S505="NATIONALS",1,1))))))))))))))))))))))))))))))*IF(W505="",1,(1+((W505-70)/10*0.035)))*IF(U505="DOME",1,IF(U505="IN",1-(V505*0.01),IF(U505="OUT",1+(V505*0.01),IF(OR(U505="L-R",U505="R-L"),1+(V505*0.005),1))))</f>
        <v/>
      </c>
      <c r="U505" t="inlineStr">
        <is>
          <t>CROSS</t>
        </is>
      </c>
      <c r="V505" t="n">
        <v>10</v>
      </c>
      <c r="W505" t="n">
        <v>61</v>
      </c>
      <c r="Y505">
        <f>B505 &amp; " vs. " &amp; H505</f>
        <v/>
      </c>
      <c r="Z505">
        <f>TRIM(LEFT(Y505, FIND("vs.", Y505)-1))</f>
        <v/>
      </c>
      <c r="AA505">
        <f>TRIM(MID(Y505, FIND(" vs. ", Y505)+4, 100))</f>
        <v/>
      </c>
      <c r="AB505" s="35">
        <f>IF(Q505 &gt; VALUE(AC505), "O " &amp; AC505, IF(Q505 &lt; VALUE(AC505), "U " &amp; AC505, AC505))</f>
        <v/>
      </c>
      <c r="AC505" s="15">
        <f>IF(OR(O505="-", P505="-"), "-", MROUND(O505 + P505, 0.5))</f>
        <v/>
      </c>
      <c r="AD505" s="15">
        <f>VALUE(TRIM(RIGHT(AF505, LEN(AF505) - FIND(" ", AF505))))</f>
        <v/>
      </c>
      <c r="AE505" s="15">
        <f>LEFT(AF505,FIND(" ",AF505)-1)</f>
        <v/>
      </c>
      <c r="AF505" s="15">
        <f>IF(OR(O505="-", P505="-"), "-",
IF(MROUND(ABS(O505-P505),0.5)&lt;=0.5,
IF(O505&gt;P505, B505 &amp; " ML", H505 &amp; " ML"),
IF(MROUND(ABS(O505-P505),0.5)=1,
IF(O505&gt;P505, H505 &amp; " +1.5", B505 &amp; " +1.5"),
IF(O505&gt;P505, B505 &amp; " -1.5", H505 &amp; " -1.5")
)
)
)</f>
        <v/>
      </c>
      <c r="AG505" s="15">
        <f>_xlfn.LET(
_xlpm.winA, O505^1.83 / (O505^1.83 + P505^1.83),
_xlpm.winB, 1 - _xlpm.winA,
_xlpm.oddsA, IF(_xlpm.winA &gt;= 0.5, "-" &amp; ROUND(_xlpm.winA / (1 - _xlpm.winA) * 100, 0), "+" &amp; ROUND((1 - _xlpm.winA) / _xlpm.winA * 100, 0)),
_xlpm.oddsB, IF(_xlpm.winB &gt;= 0.5, "-" &amp; ROUND(_xlpm.winB / (1 - _xlpm.winB) * 100, 0), "+" &amp; ROUND((1 - _xlpm.winB) / _xlpm.winB * 100, 0)),
_xlpm.oddsA &amp; " / " &amp;
_xlpm.oddsB)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U373"/>
  <sheetViews>
    <sheetView tabSelected="1" workbookViewId="0">
      <selection activeCell="K39" sqref="K39"/>
    </sheetView>
  </sheetViews>
  <sheetFormatPr baseColWidth="10" defaultColWidth="8.83203125" defaultRowHeight="15"/>
  <cols>
    <col width="11.33203125" customWidth="1" min="2" max="2"/>
    <col width="8.5" customWidth="1" min="4" max="4"/>
    <col width="11.33203125" customWidth="1" min="6" max="6"/>
    <col width="8.1640625" customWidth="1" min="7" max="8"/>
    <col width="4.5" customWidth="1" min="9" max="9"/>
    <col width="8.1640625" customWidth="1" min="10" max="10"/>
    <col width="9.5" customWidth="1" min="11" max="11"/>
    <col width="10.83203125" customWidth="1" min="12" max="12"/>
    <col width="8.5" customWidth="1" min="14" max="14"/>
    <col width="8.33203125" customWidth="1" min="15" max="16"/>
    <col width="25.1640625" customWidth="1" min="17" max="17"/>
    <col width="6.83203125" customWidth="1" min="18" max="18"/>
    <col width="14.5" customWidth="1" min="21" max="21"/>
    <col width="10.83203125" customWidth="1" min="24" max="24"/>
  </cols>
  <sheetData>
    <row r="1" ht="16" customHeight="1"/>
    <row r="2" ht="20" customHeight="1">
      <c r="B2" s="78" t="inlineStr">
        <is>
          <t>wRC+</t>
        </is>
      </c>
      <c r="C2" s="77" t="n"/>
      <c r="D2" s="75" t="n"/>
      <c r="F2" s="76" t="inlineStr">
        <is>
          <t>Bullpen xFIP</t>
        </is>
      </c>
      <c r="G2" s="77" t="n"/>
      <c r="H2" s="75" t="n"/>
      <c r="N2" s="79" t="inlineStr">
        <is>
          <t>BP xFIP 2025</t>
        </is>
      </c>
      <c r="O2" s="75" t="n"/>
      <c r="Q2" s="74" t="inlineStr">
        <is>
          <t>PITCHERS - xFIP 2025</t>
        </is>
      </c>
      <c r="R2" s="75" t="n"/>
      <c r="U2" t="inlineStr">
        <is>
          <t>NAME</t>
        </is>
      </c>
      <c r="V2" s="43" t="inlineStr">
        <is>
          <t>75%</t>
        </is>
      </c>
      <c r="W2" s="43" t="inlineStr">
        <is>
          <t>25%</t>
        </is>
      </c>
      <c r="X2" s="17" t="inlineStr">
        <is>
          <t>fipTOTAL</t>
        </is>
      </c>
      <c r="Z2" s="44" t="inlineStr">
        <is>
          <t>#</t>
        </is>
      </c>
      <c r="AA2" s="45" t="inlineStr">
        <is>
          <t>Team</t>
        </is>
      </c>
      <c r="AB2" s="46" t="inlineStr">
        <is>
          <t>TG</t>
        </is>
      </c>
      <c r="AC2" s="46" t="inlineStr">
        <is>
          <t>W</t>
        </is>
      </c>
      <c r="AD2" s="46" t="inlineStr">
        <is>
          <t>L</t>
        </is>
      </c>
      <c r="AE2" s="46" t="inlineStr">
        <is>
          <t>SV</t>
        </is>
      </c>
      <c r="AF2" s="46" t="inlineStr">
        <is>
          <t>G</t>
        </is>
      </c>
      <c r="AG2" s="46" t="inlineStr">
        <is>
          <t>GS</t>
        </is>
      </c>
      <c r="AH2" s="46" t="inlineStr">
        <is>
          <t>IP</t>
        </is>
      </c>
      <c r="AI2" s="47" t="inlineStr">
        <is>
          <t>K/9</t>
        </is>
      </c>
      <c r="AJ2" s="46" t="inlineStr">
        <is>
          <t>BB/9</t>
        </is>
      </c>
      <c r="AK2" s="46" t="inlineStr">
        <is>
          <t>HR/9</t>
        </is>
      </c>
      <c r="AL2" s="46" t="inlineStr">
        <is>
          <t>BABIP</t>
        </is>
      </c>
      <c r="AM2" s="48" t="inlineStr">
        <is>
          <t>LOB%</t>
        </is>
      </c>
      <c r="AN2" s="48" t="inlineStr">
        <is>
          <t>GB%</t>
        </is>
      </c>
      <c r="AO2" s="48" t="inlineStr">
        <is>
          <t>HR/FB</t>
        </is>
      </c>
      <c r="AP2" s="47" t="inlineStr">
        <is>
          <t>vFA (pi)</t>
        </is>
      </c>
      <c r="AQ2" s="47" t="inlineStr">
        <is>
          <t>ERA</t>
        </is>
      </c>
      <c r="AR2" s="46" t="inlineStr">
        <is>
          <t>xERA</t>
        </is>
      </c>
      <c r="AS2" s="46" t="inlineStr">
        <is>
          <t>FIP</t>
        </is>
      </c>
      <c r="AT2" s="46" t="inlineStr">
        <is>
          <t>xFIP</t>
        </is>
      </c>
      <c r="AU2" s="47" t="inlineStr">
        <is>
          <t>WAR</t>
        </is>
      </c>
    </row>
    <row r="3" ht="16" customHeight="1">
      <c r="U3" s="49" t="inlineStr">
        <is>
          <t>LOWDER</t>
        </is>
      </c>
      <c r="V3" t="n">
        <v>4.78</v>
      </c>
      <c r="W3" t="n">
        <v>3.81</v>
      </c>
      <c r="X3" s="17">
        <f>(V3*0.75)+(W3*0.25)</f>
        <v/>
      </c>
      <c r="Z3" s="44" t="n">
        <v>1</v>
      </c>
      <c r="AA3" s="45" t="inlineStr">
        <is>
          <t>ARI</t>
        </is>
      </c>
      <c r="AB3" s="46" t="n">
        <v>12</v>
      </c>
      <c r="AC3" s="46" t="n">
        <v>6</v>
      </c>
      <c r="AD3" s="46" t="n">
        <v>6</v>
      </c>
      <c r="AE3" s="46" t="n">
        <v>4</v>
      </c>
      <c r="AF3" s="46" t="n">
        <v>58</v>
      </c>
      <c r="AG3" s="46" t="n">
        <v>12</v>
      </c>
      <c r="AH3" s="46" t="n">
        <v>106.1</v>
      </c>
      <c r="AI3" s="47" t="n">
        <v>6.86</v>
      </c>
      <c r="AJ3" s="46" t="n">
        <v>3.13</v>
      </c>
      <c r="AK3" s="46" t="n">
        <v>1.02</v>
      </c>
      <c r="AL3" s="46" t="n">
        <v>0.265</v>
      </c>
      <c r="AM3" s="48" t="n">
        <v>0.654</v>
      </c>
      <c r="AN3" s="48" t="n">
        <v>0.462</v>
      </c>
      <c r="AO3" s="48" t="n">
        <v>0.097</v>
      </c>
      <c r="AP3" s="47" t="n">
        <v>93</v>
      </c>
      <c r="AQ3" s="47" t="n">
        <v>4.15</v>
      </c>
      <c r="AR3" s="46" t="n">
        <v>5.05</v>
      </c>
      <c r="AS3" s="46" t="n">
        <v>4.25</v>
      </c>
      <c r="AT3" s="46" t="n">
        <v>4.28</v>
      </c>
      <c r="AU3" s="47" t="n">
        <v>0.6</v>
      </c>
    </row>
    <row r="4" ht="16" customHeight="1">
      <c r="B4" t="inlineStr">
        <is>
          <t>NAME</t>
        </is>
      </c>
      <c r="C4" t="inlineStr">
        <is>
          <t>TEAM</t>
        </is>
      </c>
      <c r="D4" t="inlineStr">
        <is>
          <t>wRC+</t>
        </is>
      </c>
      <c r="F4" t="inlineStr">
        <is>
          <t xml:space="preserve">NAME </t>
        </is>
      </c>
      <c r="G4" t="inlineStr">
        <is>
          <t>TEAM</t>
        </is>
      </c>
      <c r="H4" s="17" t="inlineStr">
        <is>
          <t>bFIP+</t>
        </is>
      </c>
      <c r="J4" t="inlineStr">
        <is>
          <t>Team</t>
        </is>
      </c>
      <c r="K4" t="inlineStr">
        <is>
          <t>xFIP 26</t>
        </is>
      </c>
      <c r="L4" t="inlineStr">
        <is>
          <t>wRC+ 26</t>
        </is>
      </c>
      <c r="N4" s="50" t="inlineStr">
        <is>
          <t>wRC+ 25</t>
        </is>
      </c>
      <c r="O4" s="51" t="inlineStr">
        <is>
          <t>bFIP+ 25</t>
        </is>
      </c>
      <c r="P4" s="52" t="n"/>
      <c r="Q4" t="inlineStr">
        <is>
          <t>Name</t>
        </is>
      </c>
      <c r="R4" t="inlineStr">
        <is>
          <t>FIP</t>
        </is>
      </c>
      <c r="U4" s="53" t="inlineStr">
        <is>
          <t>SPRINGS</t>
        </is>
      </c>
      <c r="V4">
        <f>VLOOKUP(U4, $Q$5:$R$1124, 2, FALSE)</f>
        <v/>
      </c>
      <c r="W4" t="n">
        <v>2.65</v>
      </c>
      <c r="X4" s="17">
        <f>(V4*0.75)+(W4*0.25)</f>
        <v/>
      </c>
      <c r="Z4" s="44" t="n">
        <v>2</v>
      </c>
      <c r="AA4" s="45" t="inlineStr">
        <is>
          <t>ATH</t>
        </is>
      </c>
      <c r="AB4" s="46" t="n">
        <v>11</v>
      </c>
      <c r="AC4" s="46" t="n">
        <v>4</v>
      </c>
      <c r="AD4" s="46" t="n">
        <v>7</v>
      </c>
      <c r="AE4" s="46" t="n">
        <v>2</v>
      </c>
      <c r="AF4" s="46" t="n">
        <v>51</v>
      </c>
      <c r="AG4" s="46" t="n">
        <v>11</v>
      </c>
      <c r="AH4" s="46" t="n">
        <v>97</v>
      </c>
      <c r="AI4" s="47" t="n">
        <v>7.89</v>
      </c>
      <c r="AJ4" s="46" t="n">
        <v>6.4</v>
      </c>
      <c r="AK4" s="46" t="n">
        <v>1.11</v>
      </c>
      <c r="AL4" s="46" t="n">
        <v>0.306</v>
      </c>
      <c r="AM4" s="48" t="n">
        <v>0.721</v>
      </c>
      <c r="AN4" s="48" t="n">
        <v>0.422</v>
      </c>
      <c r="AO4" s="48" t="n">
        <v>0.106</v>
      </c>
      <c r="AP4" s="47" t="n">
        <v>94.59999999999999</v>
      </c>
      <c r="AQ4" s="47" t="n">
        <v>5.2</v>
      </c>
      <c r="AR4" s="46" t="n">
        <v>5</v>
      </c>
      <c r="AS4" s="46" t="n">
        <v>5.23</v>
      </c>
      <c r="AT4" s="46" t="n">
        <v>5.11</v>
      </c>
      <c r="AU4" s="47" t="n">
        <v>-0.2</v>
      </c>
    </row>
    <row r="5" ht="16" customHeight="1">
      <c r="B5">
        <f>IF(C5="ARI","D-BACKS",IF(C5="ATH","ATHLETICS",IF(C5="ATL","BRAVES",IF(C5="BAL","ORIOLES",IF(C5="BOS","RED SOX",IF(C5="CHC","CUBS",IF(C5="CHW","WHITE SOX",IF(C5="CIN","REDS",IF(C5="CLE","GUARDIANS",IF(C5="COL","ROCKIES",IF(C5="DET","TIGERS",IF(C5="HOU","ASTROS",IF(C5="KCR","ROYALS",IF(C5="LAA","ANGELS",IF(C5="LAD","DODGERS",IF(C5="MIA","MARLINS",IF(C5="MIL","BREWERS",IF(C5="MIN","TWINS",IF(C5="NYM","METS",IF(C5="NYY","YANKEES",IF(C5="OAK","ATHLETICS",IF(C5="PHI","PHILLIES",IF(C5="PIT","PIRATES",IF(C5="SDP","PADRES",IF(C5="SEA","MARINERS",IF(C5="SFG","GIANTS",IF(C5="STL","CARDINALS",IF(C5="TBR","RAYS",IF(C5="TEX","RANGERS",IF(C5="TOR","BLUE JAYS",IF(C5="WSN","NATIONALS","")))))))))))))))))))))))))))))))</f>
        <v/>
      </c>
      <c r="C5" t="inlineStr">
        <is>
          <t>ARI</t>
        </is>
      </c>
      <c r="D5" s="54">
        <f>(N5*0.75)+(L5*0.25)</f>
        <v/>
      </c>
      <c r="F5">
        <f>IF(G5="ARI","D-BACKS",IF(G5="ATH","ATHLETICS",IF(G5="ATL","BRAVES",IF(G5="BAL","ORIOLES",IF(G5="BOS","RED SOX",IF(G5="CHC","CUBS",IF(G5="CHW","WHITE SOX",IF(G5="CIN","REDS",IF(G5="CLE","GUARDIANS",IF(G5="COL","ROCKIES",IF(G5="DET","TIGERS",IF(G5="HOU","ASTROS",IF(G5="KCR","ROYALS",IF(G5="LAA","ANGELS",IF(G5="LAD","DODGERS",IF(G5="MIA","MARLINS",IF(G5="MIL","BREWERS",IF(G5="MIN","TWINS",IF(G5="NYM","METS",IF(G5="NYY","YANKEES",IF(G5="OAK","ATHLETICS",IF(G5="PHI","PHILLIES",IF(G5="PIT","PIRATES",IF(G5="SDP","PADRES",IF(G5="SEA","MARINERS",IF(G5="SFG","GIANTS",IF(G5="STL","CARDINALS",IF(G5="TBR","RAYS",IF(G5="TEX","RANGERS",IF(G5="TOR","BLUE JAYS",IF(G5="WSN","NATIONALS","")))))))))))))))))))))))))))))))</f>
        <v/>
      </c>
      <c r="G5" t="inlineStr">
        <is>
          <t>ARI</t>
        </is>
      </c>
      <c r="H5" s="55">
        <f>(O5*0.9)+(K5*0.1)</f>
        <v/>
      </c>
      <c r="J5" t="inlineStr">
        <is>
          <t>ARI</t>
        </is>
      </c>
      <c r="K5" t="n">
        <v>4.027</v>
      </c>
      <c r="L5" t="n">
        <v>93.59999999999999</v>
      </c>
      <c r="N5" s="56" t="n">
        <v>108.7</v>
      </c>
      <c r="O5" s="57" t="n">
        <v>4.419</v>
      </c>
      <c r="P5" s="58" t="n"/>
      <c r="Q5" t="inlineStr">
        <is>
          <t>Abbott</t>
        </is>
      </c>
      <c r="R5" t="n">
        <v>4.31</v>
      </c>
      <c r="U5" s="49" t="inlineStr">
        <is>
          <t>FLAHERTY</t>
        </is>
      </c>
      <c r="V5">
        <f>VLOOKUP(U5, $Q$5:$R$1124, 2, FALSE)</f>
        <v/>
      </c>
      <c r="W5" t="n">
        <v>5.22</v>
      </c>
      <c r="X5" s="17">
        <f>(V5*0.75)+(W5*0.25)</f>
        <v/>
      </c>
      <c r="Z5" s="44" t="n">
        <v>3</v>
      </c>
      <c r="AA5" s="45" t="inlineStr">
        <is>
          <t>ATL</t>
        </is>
      </c>
      <c r="AB5" s="46" t="n">
        <v>13</v>
      </c>
      <c r="AC5" s="46" t="n">
        <v>8</v>
      </c>
      <c r="AD5" s="46" t="n">
        <v>5</v>
      </c>
      <c r="AE5" s="46" t="n">
        <v>3</v>
      </c>
      <c r="AF5" s="46" t="n">
        <v>50</v>
      </c>
      <c r="AG5" s="46" t="n">
        <v>13</v>
      </c>
      <c r="AH5" s="46" t="n">
        <v>115</v>
      </c>
      <c r="AI5" s="47" t="n">
        <v>8.300000000000001</v>
      </c>
      <c r="AJ5" s="46" t="n">
        <v>2.35</v>
      </c>
      <c r="AK5" s="46" t="n">
        <v>0.7</v>
      </c>
      <c r="AL5" s="46" t="n">
        <v>0.226</v>
      </c>
      <c r="AM5" s="48" t="n">
        <v>0.805</v>
      </c>
      <c r="AN5" s="48" t="n">
        <v>0.399</v>
      </c>
      <c r="AO5" s="48" t="n">
        <v>0.076</v>
      </c>
      <c r="AP5" s="47" t="n">
        <v>94.8</v>
      </c>
      <c r="AQ5" s="47" t="n">
        <v>2.03</v>
      </c>
      <c r="AR5" s="46" t="n">
        <v>3.11</v>
      </c>
      <c r="AS5" s="46" t="n">
        <v>3.32</v>
      </c>
      <c r="AT5" s="46" t="n">
        <v>3.62</v>
      </c>
      <c r="AU5" s="47" t="n">
        <v>1.6</v>
      </c>
    </row>
    <row r="6" ht="16" customHeight="1">
      <c r="B6">
        <f>IF(C6="ARI","D-BACKS",IF(C6="ATH","ATHLETICS",IF(C6="ATL","BRAVES",IF(C6="BAL","ORIOLES",IF(C6="BOS","RED SOX",IF(C6="CHC","CUBS",IF(C6="CHW","WHITE SOX",IF(C6="CIN","REDS",IF(C6="CLE","GUARDIANS",IF(C6="COL","ROCKIES",IF(C6="DET","TIGERS",IF(C6="HOU","ASTROS",IF(C6="KCR","ROYALS",IF(C6="LAA","ANGELS",IF(C6="LAD","DODGERS",IF(C6="MIA","MARLINS",IF(C6="MIL","BREWERS",IF(C6="MIN","TWINS",IF(C6="NYM","METS",IF(C6="NYY","YANKEES",IF(C6="OAK","ATHLETICS",IF(C6="PHI","PHILLIES",IF(C6="PIT","PIRATES",IF(C6="SDP","PADRES",IF(C6="SEA","MARINERS",IF(C6="SFG","GIANTS",IF(C6="STL","CARDINALS",IF(C6="TBR","RAYS",IF(C6="TEX","RANGERS",IF(C6="TOR","BLUE JAYS",IF(C6="WSN","NATIONALS","")))))))))))))))))))))))))))))))</f>
        <v/>
      </c>
      <c r="C6" t="inlineStr">
        <is>
          <t>ATH</t>
        </is>
      </c>
      <c r="D6" s="54">
        <f>(N6*0.75)+(L6*0.25)</f>
        <v/>
      </c>
      <c r="F6">
        <f>IF(G6="ARI","D-BACKS",IF(G6="ATH","ATHLETICS",IF(G6="ATL","BRAVES",IF(G6="BAL","ORIOLES",IF(G6="BOS","RED SOX",IF(G6="CHC","CUBS",IF(G6="CHW","WHITE SOX",IF(G6="CIN","REDS",IF(G6="CLE","GUARDIANS",IF(G6="COL","ROCKIES",IF(G6="DET","TIGERS",IF(G6="HOU","ASTROS",IF(G6="KCR","ROYALS",IF(G6="LAA","ANGELS",IF(G6="LAD","DODGERS",IF(G6="MIA","MARLINS",IF(G6="MIL","BREWERS",IF(G6="MIN","TWINS",IF(G6="NYM","METS",IF(G6="NYY","YANKEES",IF(G6="OAK","ATHLETICS",IF(G6="PHI","PHILLIES",IF(G6="PIT","PIRATES",IF(G6="SDP","PADRES",IF(G6="SEA","MARINERS",IF(G6="SFG","GIANTS",IF(G6="STL","CARDINALS",IF(G6="TBR","RAYS",IF(G6="TEX","RANGERS",IF(G6="TOR","BLUE JAYS",IF(G6="WSN","NATIONALS","")))))))))))))))))))))))))))))))</f>
        <v/>
      </c>
      <c r="G6" t="inlineStr">
        <is>
          <t>ATH</t>
        </is>
      </c>
      <c r="H6" s="55">
        <f>(O6*0.9)+(K6*0.1)</f>
        <v/>
      </c>
      <c r="J6" t="inlineStr">
        <is>
          <t>ATH</t>
        </is>
      </c>
      <c r="K6" t="n">
        <v>4.52</v>
      </c>
      <c r="L6" t="n">
        <v>101.5</v>
      </c>
      <c r="N6" s="59" t="n">
        <v>104.9</v>
      </c>
      <c r="O6" s="60" t="n">
        <v>4.448</v>
      </c>
      <c r="P6" s="58" t="n"/>
      <c r="Q6" t="inlineStr">
        <is>
          <t>Abel</t>
        </is>
      </c>
      <c r="R6" t="n">
        <v>4.49</v>
      </c>
      <c r="U6" s="53" t="inlineStr">
        <is>
          <t>E. RODRIGUEZ</t>
        </is>
      </c>
      <c r="V6">
        <f>VLOOKUP(U6, $Q$5:$R$1124, 2, FALSE)</f>
        <v/>
      </c>
      <c r="W6" t="n">
        <v>2.59</v>
      </c>
      <c r="X6" s="17">
        <f>(V6*0.75)+(W6*0.25)</f>
        <v/>
      </c>
      <c r="Z6" s="44" t="n">
        <v>4</v>
      </c>
      <c r="AA6" s="45" t="inlineStr">
        <is>
          <t>BAL</t>
        </is>
      </c>
      <c r="AB6" s="46" t="n">
        <v>12</v>
      </c>
      <c r="AC6" s="46" t="n">
        <v>6</v>
      </c>
      <c r="AD6" s="46" t="n">
        <v>6</v>
      </c>
      <c r="AE6" s="46" t="n">
        <v>6</v>
      </c>
      <c r="AF6" s="46" t="n">
        <v>52</v>
      </c>
      <c r="AG6" s="46" t="n">
        <v>12</v>
      </c>
      <c r="AH6" s="46" t="n">
        <v>105.1</v>
      </c>
      <c r="AI6" s="47" t="n">
        <v>9.23</v>
      </c>
      <c r="AJ6" s="46" t="n">
        <v>4.44</v>
      </c>
      <c r="AK6" s="46" t="n">
        <v>0.68</v>
      </c>
      <c r="AL6" s="46" t="n">
        <v>0.299</v>
      </c>
      <c r="AM6" s="48" t="n">
        <v>0.735</v>
      </c>
      <c r="AN6" s="48" t="n">
        <v>0.429</v>
      </c>
      <c r="AO6" s="48" t="n">
        <v>0.073</v>
      </c>
      <c r="AP6" s="47" t="n">
        <v>94.5</v>
      </c>
      <c r="AQ6" s="47" t="n">
        <v>3.93</v>
      </c>
      <c r="AR6" s="46" t="n">
        <v>3.39</v>
      </c>
      <c r="AS6" s="46" t="n">
        <v>3.85</v>
      </c>
      <c r="AT6" s="46" t="n">
        <v>4.2</v>
      </c>
      <c r="AU6" s="47" t="n">
        <v>1.3</v>
      </c>
    </row>
    <row r="7" ht="16" customHeight="1">
      <c r="B7">
        <f>IF(C7="ARI","D-BACKS",IF(C7="ATH","ATHLETICS",IF(C7="ATL","BRAVES",IF(C7="BAL","ORIOLES",IF(C7="BOS","RED SOX",IF(C7="CHC","CUBS",IF(C7="CHW","WHITE SOX",IF(C7="CIN","REDS",IF(C7="CLE","GUARDIANS",IF(C7="COL","ROCKIES",IF(C7="DET","TIGERS",IF(C7="HOU","ASTROS",IF(C7="KCR","ROYALS",IF(C7="LAA","ANGELS",IF(C7="LAD","DODGERS",IF(C7="MIA","MARLINS",IF(C7="MIL","BREWERS",IF(C7="MIN","TWINS",IF(C7="NYM","METS",IF(C7="NYY","YANKEES",IF(C7="OAK","ATHLETICS",IF(C7="PHI","PHILLIES",IF(C7="PIT","PIRATES",IF(C7="SDP","PADRES",IF(C7="SEA","MARINERS",IF(C7="SFG","GIANTS",IF(C7="STL","CARDINALS",IF(C7="TBR","RAYS",IF(C7="TEX","RANGERS",IF(C7="TOR","BLUE JAYS",IF(C7="WSN","NATIONALS","")))))))))))))))))))))))))))))))</f>
        <v/>
      </c>
      <c r="C7" t="inlineStr">
        <is>
          <t>ATL</t>
        </is>
      </c>
      <c r="D7" s="54">
        <f>(N7*0.75)+(L7*0.25)</f>
        <v/>
      </c>
      <c r="F7">
        <f>IF(G7="ARI","D-BACKS",IF(G7="ATH","ATHLETICS",IF(G7="ATL","BRAVES",IF(G7="BAL","ORIOLES",IF(G7="BOS","RED SOX",IF(G7="CHC","CUBS",IF(G7="CHW","WHITE SOX",IF(G7="CIN","REDS",IF(G7="CLE","GUARDIANS",IF(G7="COL","ROCKIES",IF(G7="DET","TIGERS",IF(G7="HOU","ASTROS",IF(G7="KCR","ROYALS",IF(G7="LAA","ANGELS",IF(G7="LAD","DODGERS",IF(G7="MIA","MARLINS",IF(G7="MIL","BREWERS",IF(G7="MIN","TWINS",IF(G7="NYM","METS",IF(G7="NYY","YANKEES",IF(G7="OAK","ATHLETICS",IF(G7="PHI","PHILLIES",IF(G7="PIT","PIRATES",IF(G7="SDP","PADRES",IF(G7="SEA","MARINERS",IF(G7="SFG","GIANTS",IF(G7="STL","CARDINALS",IF(G7="TBR","RAYS",IF(G7="TEX","RANGERS",IF(G7="TOR","BLUE JAYS",IF(G7="WSN","NATIONALS","")))))))))))))))))))))))))))))))</f>
        <v/>
      </c>
      <c r="G7" t="inlineStr">
        <is>
          <t>ATL</t>
        </is>
      </c>
      <c r="H7" s="55">
        <f>(O7*0.9)+(K7*0.1)</f>
        <v/>
      </c>
      <c r="J7" t="inlineStr">
        <is>
          <t>ATL</t>
        </is>
      </c>
      <c r="K7" t="n">
        <v>3.703</v>
      </c>
      <c r="L7" t="n">
        <v>119</v>
      </c>
      <c r="N7" s="56" t="n">
        <v>100.7</v>
      </c>
      <c r="O7" s="57" t="n">
        <v>4.218</v>
      </c>
      <c r="P7" s="58" t="n"/>
      <c r="Q7" t="inlineStr">
        <is>
          <t>Adams</t>
        </is>
      </c>
      <c r="R7" t="n">
        <v>4.21</v>
      </c>
      <c r="U7" s="49" t="inlineStr">
        <is>
          <t>KAY</t>
        </is>
      </c>
      <c r="V7" t="n">
        <v>6.03</v>
      </c>
      <c r="W7" t="n">
        <v>5.2</v>
      </c>
      <c r="X7" s="17">
        <f>(V7*0.75)+(W7*0.25)</f>
        <v/>
      </c>
      <c r="Z7" s="44" t="n">
        <v>5</v>
      </c>
      <c r="AA7" s="45" t="inlineStr">
        <is>
          <t>BOS</t>
        </is>
      </c>
      <c r="AB7" s="46" t="n">
        <v>12</v>
      </c>
      <c r="AC7" s="46" t="n">
        <v>4</v>
      </c>
      <c r="AD7" s="46" t="n">
        <v>8</v>
      </c>
      <c r="AE7" s="46" t="n">
        <v>3</v>
      </c>
      <c r="AF7" s="46" t="n">
        <v>51</v>
      </c>
      <c r="AG7" s="46" t="n">
        <v>12</v>
      </c>
      <c r="AH7" s="46" t="n">
        <v>105.1</v>
      </c>
      <c r="AI7" s="47" t="n">
        <v>8.720000000000001</v>
      </c>
      <c r="AJ7" s="46" t="n">
        <v>3.93</v>
      </c>
      <c r="AK7" s="46" t="n">
        <v>1.11</v>
      </c>
      <c r="AL7" s="46" t="n">
        <v>0.285</v>
      </c>
      <c r="AM7" s="48" t="n">
        <v>0.712</v>
      </c>
      <c r="AN7" s="48" t="n">
        <v>0.455</v>
      </c>
      <c r="AO7" s="48" t="n">
        <v>0.131</v>
      </c>
      <c r="AP7" s="47" t="n">
        <v>94</v>
      </c>
      <c r="AQ7" s="47" t="n">
        <v>4.19</v>
      </c>
      <c r="AR7" s="46" t="n">
        <v>5.2</v>
      </c>
      <c r="AS7" s="46" t="n">
        <v>4.27</v>
      </c>
      <c r="AT7" s="46" t="n">
        <v>3.87</v>
      </c>
      <c r="AU7" s="47" t="n">
        <v>0.6</v>
      </c>
    </row>
    <row r="8" ht="16" customHeight="1">
      <c r="B8">
        <f>IF(C8="ARI","D-BACKS",IF(C8="ATH","ATHLETICS",IF(C8="ATL","BRAVES",IF(C8="BAL","ORIOLES",IF(C8="BOS","RED SOX",IF(C8="CHC","CUBS",IF(C8="CHW","WHITE SOX",IF(C8="CIN","REDS",IF(C8="CLE","GUARDIANS",IF(C8="COL","ROCKIES",IF(C8="DET","TIGERS",IF(C8="HOU","ASTROS",IF(C8="KCR","ROYALS",IF(C8="LAA","ANGELS",IF(C8="LAD","DODGERS",IF(C8="MIA","MARLINS",IF(C8="MIL","BREWERS",IF(C8="MIN","TWINS",IF(C8="NYM","METS",IF(C8="NYY","YANKEES",IF(C8="OAK","ATHLETICS",IF(C8="PHI","PHILLIES",IF(C8="PIT","PIRATES",IF(C8="SDP","PADRES",IF(C8="SEA","MARINERS",IF(C8="SFG","GIANTS",IF(C8="STL","CARDINALS",IF(C8="TBR","RAYS",IF(C8="TEX","RANGERS",IF(C8="TOR","BLUE JAYS",IF(C8="WSN","NATIONALS","")))))))))))))))))))))))))))))))</f>
        <v/>
      </c>
      <c r="C8" t="inlineStr">
        <is>
          <t>BAL</t>
        </is>
      </c>
      <c r="D8" s="54">
        <f>(N8*0.75)+(L8*0.25)</f>
        <v/>
      </c>
      <c r="F8">
        <f>IF(G8="ARI","D-BACKS",IF(G8="ATH","ATHLETICS",IF(G8="ATL","BRAVES",IF(G8="BAL","ORIOLES",IF(G8="BOS","RED SOX",IF(G8="CHC","CUBS",IF(G8="CHW","WHITE SOX",IF(G8="CIN","REDS",IF(G8="CLE","GUARDIANS",IF(G8="COL","ROCKIES",IF(G8="DET","TIGERS",IF(G8="HOU","ASTROS",IF(G8="KCR","ROYALS",IF(G8="LAA","ANGELS",IF(G8="LAD","DODGERS",IF(G8="MIA","MARLINS",IF(G8="MIL","BREWERS",IF(G8="MIN","TWINS",IF(G8="NYM","METS",IF(G8="NYY","YANKEES",IF(G8="OAK","ATHLETICS",IF(G8="PHI","PHILLIES",IF(G8="PIT","PIRATES",IF(G8="SDP","PADRES",IF(G8="SEA","MARINERS",IF(G8="SFG","GIANTS",IF(G8="STL","CARDINALS",IF(G8="TBR","RAYS",IF(G8="TEX","RANGERS",IF(G8="TOR","BLUE JAYS",IF(G8="WSN","NATIONALS","")))))))))))))))))))))))))))))))</f>
        <v/>
      </c>
      <c r="G8" t="inlineStr">
        <is>
          <t>BAL</t>
        </is>
      </c>
      <c r="H8" s="55">
        <f>(O8*0.9)+(K8*0.1)</f>
        <v/>
      </c>
      <c r="J8" t="inlineStr">
        <is>
          <t>BAL</t>
        </is>
      </c>
      <c r="K8" t="n">
        <v>4.036</v>
      </c>
      <c r="L8" t="n">
        <v>99.90000000000001</v>
      </c>
      <c r="N8" s="59" t="n">
        <v>96</v>
      </c>
      <c r="O8" s="60" t="n">
        <v>4.106</v>
      </c>
      <c r="P8" s="58" t="n"/>
      <c r="Q8" t="inlineStr">
        <is>
          <t>Akin</t>
        </is>
      </c>
      <c r="R8" t="n">
        <v>4.12</v>
      </c>
      <c r="U8" s="53" t="n"/>
      <c r="X8" s="17">
        <f>(V8*0.75)+(W8*0.25)</f>
        <v/>
      </c>
      <c r="Z8" s="44" t="n">
        <v>6</v>
      </c>
      <c r="AA8" s="45" t="inlineStr">
        <is>
          <t>CHC</t>
        </is>
      </c>
      <c r="AB8" s="46" t="n">
        <v>12</v>
      </c>
      <c r="AC8" s="46" t="n">
        <v>6</v>
      </c>
      <c r="AD8" s="46" t="n">
        <v>6</v>
      </c>
      <c r="AE8" s="46" t="n">
        <v>2</v>
      </c>
      <c r="AF8" s="46" t="n">
        <v>48</v>
      </c>
      <c r="AG8" s="46" t="n">
        <v>12</v>
      </c>
      <c r="AH8" s="46" t="n">
        <v>105</v>
      </c>
      <c r="AI8" s="47" t="n">
        <v>7.89</v>
      </c>
      <c r="AJ8" s="46" t="n">
        <v>3.34</v>
      </c>
      <c r="AK8" s="46" t="n">
        <v>1.11</v>
      </c>
      <c r="AL8" s="46" t="n">
        <v>0.241</v>
      </c>
      <c r="AM8" s="48" t="n">
        <v>0.754</v>
      </c>
      <c r="AN8" s="48" t="n">
        <v>0.423</v>
      </c>
      <c r="AO8" s="48" t="n">
        <v>0.111</v>
      </c>
      <c r="AP8" s="47" t="n">
        <v>94.09999999999999</v>
      </c>
      <c r="AQ8" s="47" t="n">
        <v>3.43</v>
      </c>
      <c r="AR8" s="46" t="n">
        <v>4.24</v>
      </c>
      <c r="AS8" s="46" t="n">
        <v>4.29</v>
      </c>
      <c r="AT8" s="46" t="n">
        <v>4.11</v>
      </c>
      <c r="AU8" s="47" t="n">
        <v>0.6</v>
      </c>
    </row>
    <row r="9" ht="16" customHeight="1">
      <c r="B9">
        <f>IF(C9="ARI","D-BACKS",IF(C9="ATH","ATHLETICS",IF(C9="ATL","BRAVES",IF(C9="BAL","ORIOLES",IF(C9="BOS","RED SOX",IF(C9="CHC","CUBS",IF(C9="CHW","WHITE SOX",IF(C9="CIN","REDS",IF(C9="CLE","GUARDIANS",IF(C9="COL","ROCKIES",IF(C9="DET","TIGERS",IF(C9="HOU","ASTROS",IF(C9="KCR","ROYALS",IF(C9="LAA","ANGELS",IF(C9="LAD","DODGERS",IF(C9="MIA","MARLINS",IF(C9="MIL","BREWERS",IF(C9="MIN","TWINS",IF(C9="NYM","METS",IF(C9="NYY","YANKEES",IF(C9="OAK","ATHLETICS",IF(C9="PHI","PHILLIES",IF(C9="PIT","PIRATES",IF(C9="SDP","PADRES",IF(C9="SEA","MARINERS",IF(C9="SFG","GIANTS",IF(C9="STL","CARDINALS",IF(C9="TBR","RAYS",IF(C9="TEX","RANGERS",IF(C9="TOR","BLUE JAYS",IF(C9="WSN","NATIONALS","")))))))))))))))))))))))))))))))</f>
        <v/>
      </c>
      <c r="C9" t="inlineStr">
        <is>
          <t>BOS</t>
        </is>
      </c>
      <c r="D9" s="54">
        <f>(N9*0.75)+(L9*0.25)</f>
        <v/>
      </c>
      <c r="F9">
        <f>IF(G9="ARI","D-BACKS",IF(G9="ATH","ATHLETICS",IF(G9="ATL","BRAVES",IF(G9="BAL","ORIOLES",IF(G9="BOS","RED SOX",IF(G9="CHC","CUBS",IF(G9="CHW","WHITE SOX",IF(G9="CIN","REDS",IF(G9="CLE","GUARDIANS",IF(G9="COL","ROCKIES",IF(G9="DET","TIGERS",IF(G9="HOU","ASTROS",IF(G9="KCR","ROYALS",IF(G9="LAA","ANGELS",IF(G9="LAD","DODGERS",IF(G9="MIA","MARLINS",IF(G9="MIL","BREWERS",IF(G9="MIN","TWINS",IF(G9="NYM","METS",IF(G9="NYY","YANKEES",IF(G9="OAK","ATHLETICS",IF(G9="PHI","PHILLIES",IF(G9="PIT","PIRATES",IF(G9="SDP","PADRES",IF(G9="SEA","MARINERS",IF(G9="SFG","GIANTS",IF(G9="STL","CARDINALS",IF(G9="TBR","RAYS",IF(G9="TEX","RANGERS",IF(G9="TOR","BLUE JAYS",IF(G9="WSN","NATIONALS","")))))))))))))))))))))))))))))))</f>
        <v/>
      </c>
      <c r="G9" t="inlineStr">
        <is>
          <t>BOS</t>
        </is>
      </c>
      <c r="H9" s="55">
        <f>(O9*0.9)+(K9*0.1)</f>
        <v/>
      </c>
      <c r="J9" t="inlineStr">
        <is>
          <t>BOS</t>
        </is>
      </c>
      <c r="K9" t="n">
        <v>4.007</v>
      </c>
      <c r="L9" t="n">
        <v>85</v>
      </c>
      <c r="N9" s="56" t="n">
        <v>102.9</v>
      </c>
      <c r="O9" s="57" t="n">
        <v>4.14</v>
      </c>
      <c r="P9" s="58" t="n"/>
      <c r="Q9" t="inlineStr">
        <is>
          <t>Alcantara</t>
        </is>
      </c>
      <c r="R9" t="n">
        <v>4.19</v>
      </c>
      <c r="U9" s="49" t="n"/>
      <c r="X9" s="17">
        <f>(V9*0.75)+(W9*0.25)</f>
        <v/>
      </c>
      <c r="Z9" s="44" t="n">
        <v>7</v>
      </c>
      <c r="AA9" s="45" t="inlineStr">
        <is>
          <t>CHW</t>
        </is>
      </c>
      <c r="AB9" s="46" t="n">
        <v>12</v>
      </c>
      <c r="AC9" s="46" t="n">
        <v>4</v>
      </c>
      <c r="AD9" s="46" t="n">
        <v>8</v>
      </c>
      <c r="AE9" s="46" t="n">
        <v>3</v>
      </c>
      <c r="AF9" s="46" t="n">
        <v>58</v>
      </c>
      <c r="AG9" s="46" t="n">
        <v>12</v>
      </c>
      <c r="AH9" s="46" t="n">
        <v>104</v>
      </c>
      <c r="AI9" s="47" t="n">
        <v>8.31</v>
      </c>
      <c r="AJ9" s="46" t="n">
        <v>4.85</v>
      </c>
      <c r="AK9" s="46" t="n">
        <v>1.04</v>
      </c>
      <c r="AL9" s="46" t="n">
        <v>0.31</v>
      </c>
      <c r="AM9" s="48" t="n">
        <v>0.646</v>
      </c>
      <c r="AN9" s="48" t="n">
        <v>0.419</v>
      </c>
      <c r="AO9" s="48" t="n">
        <v>0.098</v>
      </c>
      <c r="AP9" s="47" t="n">
        <v>94.90000000000001</v>
      </c>
      <c r="AQ9" s="47" t="n">
        <v>5.45</v>
      </c>
      <c r="AR9" s="46" t="n">
        <v>4.81</v>
      </c>
      <c r="AS9" s="46" t="n">
        <v>4.59</v>
      </c>
      <c r="AT9" s="46" t="n">
        <v>4.59</v>
      </c>
      <c r="AU9" s="47" t="n">
        <v>0.5</v>
      </c>
    </row>
    <row r="10" ht="16" customHeight="1">
      <c r="B10">
        <f>IF(C10="ARI","D-BACKS",IF(C10="ATH","ATHLETICS",IF(C10="ATL","BRAVES",IF(C10="BAL","ORIOLES",IF(C10="BOS","RED SOX",IF(C10="CHC","CUBS",IF(C10="CHW","WHITE SOX",IF(C10="CIN","REDS",IF(C10="CLE","GUARDIANS",IF(C10="COL","ROCKIES",IF(C10="DET","TIGERS",IF(C10="HOU","ASTROS",IF(C10="KCR","ROYALS",IF(C10="LAA","ANGELS",IF(C10="LAD","DODGERS",IF(C10="MIA","MARLINS",IF(C10="MIL","BREWERS",IF(C10="MIN","TWINS",IF(C10="NYM","METS",IF(C10="NYY","YANKEES",IF(C10="OAK","ATHLETICS",IF(C10="PHI","PHILLIES",IF(C10="PIT","PIRATES",IF(C10="SDP","PADRES",IF(C10="SEA","MARINERS",IF(C10="SFG","GIANTS",IF(C10="STL","CARDINALS",IF(C10="TBR","RAYS",IF(C10="TEX","RANGERS",IF(C10="TOR","BLUE JAYS",IF(C10="WSN","NATIONALS","")))))))))))))))))))))))))))))))</f>
        <v/>
      </c>
      <c r="C10" t="inlineStr">
        <is>
          <t>CHC</t>
        </is>
      </c>
      <c r="D10" s="54">
        <f>(N10*0.75)+(L10*0.25)</f>
        <v/>
      </c>
      <c r="F10">
        <f>IF(G10="ARI","D-BACKS",IF(G10="ATH","ATHLETICS",IF(G10="ATL","BRAVES",IF(G10="BAL","ORIOLES",IF(G10="BOS","RED SOX",IF(G10="CHC","CUBS",IF(G10="CHW","WHITE SOX",IF(G10="CIN","REDS",IF(G10="CLE","GUARDIANS",IF(G10="COL","ROCKIES",IF(G10="DET","TIGERS",IF(G10="HOU","ASTROS",IF(G10="KCR","ROYALS",IF(G10="LAA","ANGELS",IF(G10="LAD","DODGERS",IF(G10="MIA","MARLINS",IF(G10="MIL","BREWERS",IF(G10="MIN","TWINS",IF(G10="NYM","METS",IF(G10="NYY","YANKEES",IF(G10="OAK","ATHLETICS",IF(G10="PHI","PHILLIES",IF(G10="PIT","PIRATES",IF(G10="SDP","PADRES",IF(G10="SEA","MARINERS",IF(G10="SFG","GIANTS",IF(G10="STL","CARDINALS",IF(G10="TBR","RAYS",IF(G10="TEX","RANGERS",IF(G10="TOR","BLUE JAYS",IF(G10="WSN","NATIONALS","")))))))))))))))))))))))))))))))</f>
        <v/>
      </c>
      <c r="G10" t="inlineStr">
        <is>
          <t>CHC</t>
        </is>
      </c>
      <c r="H10" s="55">
        <f>(O10*0.9)+(K10*0.1)</f>
        <v/>
      </c>
      <c r="J10" t="inlineStr">
        <is>
          <t>CHC</t>
        </is>
      </c>
      <c r="K10" t="n">
        <v>4.299</v>
      </c>
      <c r="L10" t="n">
        <v>120.9</v>
      </c>
      <c r="N10" s="59" t="n">
        <v>109.9</v>
      </c>
      <c r="O10" s="60" t="n">
        <v>3.982</v>
      </c>
      <c r="P10" s="58" t="n"/>
      <c r="Q10" t="inlineStr">
        <is>
          <t>Aldegheri</t>
        </is>
      </c>
      <c r="R10" t="n">
        <v>5.97</v>
      </c>
      <c r="U10" s="53" t="n"/>
      <c r="X10" s="17">
        <f>(V10*0.75)+(W10*0.25)</f>
        <v/>
      </c>
      <c r="Z10" s="44" t="n">
        <v>8</v>
      </c>
      <c r="AA10" s="45" t="inlineStr">
        <is>
          <t>CIN</t>
        </is>
      </c>
      <c r="AB10" s="46" t="n">
        <v>12</v>
      </c>
      <c r="AC10" s="46" t="n">
        <v>8</v>
      </c>
      <c r="AD10" s="46" t="n">
        <v>4</v>
      </c>
      <c r="AE10" s="46" t="n">
        <v>6</v>
      </c>
      <c r="AF10" s="46" t="n">
        <v>58</v>
      </c>
      <c r="AG10" s="46" t="n">
        <v>12</v>
      </c>
      <c r="AH10" s="46" t="n">
        <v>110</v>
      </c>
      <c r="AI10" s="47" t="n">
        <v>8.75</v>
      </c>
      <c r="AJ10" s="46" t="n">
        <v>3.85</v>
      </c>
      <c r="AK10" s="46" t="n">
        <v>0.98</v>
      </c>
      <c r="AL10" s="46" t="n">
        <v>0.265</v>
      </c>
      <c r="AM10" s="48" t="n">
        <v>0.8120000000000001</v>
      </c>
      <c r="AN10" s="48" t="n">
        <v>0.424</v>
      </c>
      <c r="AO10" s="48" t="n">
        <v>0.104</v>
      </c>
      <c r="AP10" s="47" t="n">
        <v>94.90000000000001</v>
      </c>
      <c r="AQ10" s="47" t="n">
        <v>3.11</v>
      </c>
      <c r="AR10" s="46" t="n">
        <v>4.17</v>
      </c>
      <c r="AS10" s="46" t="n">
        <v>4.07</v>
      </c>
      <c r="AT10" s="46" t="n">
        <v>3.99</v>
      </c>
      <c r="AU10" s="47" t="n">
        <v>1.1</v>
      </c>
    </row>
    <row r="11" ht="16" customHeight="1">
      <c r="B11">
        <f>IF(C11="ARI","D-BACKS",IF(C11="ATH","ATHLETICS",IF(C11="ATL","BRAVES",IF(C11="BAL","ORIOLES",IF(C11="BOS","RED SOX",IF(C11="CHC","CUBS",IF(C11="CHW","WHITE SOX",IF(C11="CIN","REDS",IF(C11="CLE","GUARDIANS",IF(C11="COL","ROCKIES",IF(C11="DET","TIGERS",IF(C11="HOU","ASTROS",IF(C11="KCR","ROYALS",IF(C11="LAA","ANGELS",IF(C11="LAD","DODGERS",IF(C11="MIA","MARLINS",IF(C11="MIL","BREWERS",IF(C11="MIN","TWINS",IF(C11="NYM","METS",IF(C11="NYY","YANKEES",IF(C11="OAK","ATHLETICS",IF(C11="PHI","PHILLIES",IF(C11="PIT","PIRATES",IF(C11="SDP","PADRES",IF(C11="SEA","MARINERS",IF(C11="SFG","GIANTS",IF(C11="STL","CARDINALS",IF(C11="TBR","RAYS",IF(C11="TEX","RANGERS",IF(C11="TOR","BLUE JAYS",IF(C11="WSN","NATIONALS","")))))))))))))))))))))))))))))))</f>
        <v/>
      </c>
      <c r="C11" t="inlineStr">
        <is>
          <t>CHW</t>
        </is>
      </c>
      <c r="D11" s="54">
        <f>(N11*0.75)+(L11*0.25)</f>
        <v/>
      </c>
      <c r="F11">
        <f>IF(G11="ARI","D-BACKS",IF(G11="ATH","ATHLETICS",IF(G11="ATL","BRAVES",IF(G11="BAL","ORIOLES",IF(G11="BOS","RED SOX",IF(G11="CHC","CUBS",IF(G11="CHW","WHITE SOX",IF(G11="CIN","REDS",IF(G11="CLE","GUARDIANS",IF(G11="COL","ROCKIES",IF(G11="DET","TIGERS",IF(G11="HOU","ASTROS",IF(G11="KCR","ROYALS",IF(G11="LAA","ANGELS",IF(G11="LAD","DODGERS",IF(G11="MIA","MARLINS",IF(G11="MIL","BREWERS",IF(G11="MIN","TWINS",IF(G11="NYM","METS",IF(G11="NYY","YANKEES",IF(G11="OAK","ATHLETICS",IF(G11="PHI","PHILLIES",IF(G11="PIT","PIRATES",IF(G11="SDP","PADRES",IF(G11="SEA","MARINERS",IF(G11="SFG","GIANTS",IF(G11="STL","CARDINALS",IF(G11="TBR","RAYS",IF(G11="TEX","RANGERS",IF(G11="TOR","BLUE JAYS",IF(G11="WSN","NATIONALS","")))))))))))))))))))))))))))))))</f>
        <v/>
      </c>
      <c r="G11" t="inlineStr">
        <is>
          <t>CHW</t>
        </is>
      </c>
      <c r="H11" s="55">
        <f>(O11*0.9)+(K11*0.1)</f>
        <v/>
      </c>
      <c r="J11" t="inlineStr">
        <is>
          <t>CHW</t>
        </is>
      </c>
      <c r="K11" t="n">
        <v>4.672</v>
      </c>
      <c r="L11" t="n">
        <v>100.1</v>
      </c>
      <c r="N11" s="56" t="n">
        <v>88.5</v>
      </c>
      <c r="O11" s="57" t="n">
        <v>4.492</v>
      </c>
      <c r="P11" s="58" t="n"/>
      <c r="Q11" t="inlineStr">
        <is>
          <t>Alexander</t>
        </is>
      </c>
      <c r="R11" t="n">
        <v>3.89</v>
      </c>
      <c r="U11" s="49" t="n"/>
      <c r="X11" s="17">
        <f>(V11*0.75)+(W11*0.25)</f>
        <v/>
      </c>
      <c r="Z11" s="44" t="n">
        <v>9</v>
      </c>
      <c r="AA11" s="45" t="inlineStr">
        <is>
          <t>CLE</t>
        </is>
      </c>
      <c r="AB11" s="46" t="n">
        <v>13</v>
      </c>
      <c r="AC11" s="46" t="n">
        <v>8</v>
      </c>
      <c r="AD11" s="46" t="n">
        <v>5</v>
      </c>
      <c r="AE11" s="46" t="n">
        <v>5</v>
      </c>
      <c r="AF11" s="46" t="n">
        <v>56</v>
      </c>
      <c r="AG11" s="46" t="n">
        <v>13</v>
      </c>
      <c r="AH11" s="46" t="n">
        <v>115</v>
      </c>
      <c r="AI11" s="47" t="n">
        <v>11.03</v>
      </c>
      <c r="AJ11" s="46" t="n">
        <v>3.91</v>
      </c>
      <c r="AK11" s="46" t="n">
        <v>1.25</v>
      </c>
      <c r="AL11" s="46" t="n">
        <v>0.255</v>
      </c>
      <c r="AM11" s="48" t="n">
        <v>0.82</v>
      </c>
      <c r="AN11" s="48" t="n">
        <v>0.401</v>
      </c>
      <c r="AO11" s="48" t="n">
        <v>0.136</v>
      </c>
      <c r="AP11" s="47" t="n">
        <v>94.09999999999999</v>
      </c>
      <c r="AQ11" s="47" t="n">
        <v>3.13</v>
      </c>
      <c r="AR11" s="46" t="n">
        <v>3.8</v>
      </c>
      <c r="AS11" s="46" t="n">
        <v>3.97</v>
      </c>
      <c r="AT11" s="46" t="n">
        <v>3.47</v>
      </c>
      <c r="AU11" s="47" t="n">
        <v>1.1</v>
      </c>
    </row>
    <row r="12" ht="16" customHeight="1">
      <c r="B12">
        <f>IF(C12="ARI","D-BACKS",IF(C12="ATH","ATHLETICS",IF(C12="ATL","BRAVES",IF(C12="BAL","ORIOLES",IF(C12="BOS","RED SOX",IF(C12="CHC","CUBS",IF(C12="CHW","WHITE SOX",IF(C12="CIN","REDS",IF(C12="CLE","GUARDIANS",IF(C12="COL","ROCKIES",IF(C12="DET","TIGERS",IF(C12="HOU","ASTROS",IF(C12="KCR","ROYALS",IF(C12="LAA","ANGELS",IF(C12="LAD","DODGERS",IF(C12="MIA","MARLINS",IF(C12="MIL","BREWERS",IF(C12="MIN","TWINS",IF(C12="NYM","METS",IF(C12="NYY","YANKEES",IF(C12="OAK","ATHLETICS",IF(C12="PHI","PHILLIES",IF(C12="PIT","PIRATES",IF(C12="SDP","PADRES",IF(C12="SEA","MARINERS",IF(C12="SFG","GIANTS",IF(C12="STL","CARDINALS",IF(C12="TBR","RAYS",IF(C12="TEX","RANGERS",IF(C12="TOR","BLUE JAYS",IF(C12="WSN","NATIONALS","")))))))))))))))))))))))))))))))</f>
        <v/>
      </c>
      <c r="C12" t="inlineStr">
        <is>
          <t>CIN</t>
        </is>
      </c>
      <c r="D12" s="54">
        <f>(N12*0.75)+(L12*0.25)</f>
        <v/>
      </c>
      <c r="F12">
        <f>IF(G12="ARI","D-BACKS",IF(G12="ATH","ATHLETICS",IF(G12="ATL","BRAVES",IF(G12="BAL","ORIOLES",IF(G12="BOS","RED SOX",IF(G12="CHC","CUBS",IF(G12="CHW","WHITE SOX",IF(G12="CIN","REDS",IF(G12="CLE","GUARDIANS",IF(G12="COL","ROCKIES",IF(G12="DET","TIGERS",IF(G12="HOU","ASTROS",IF(G12="KCR","ROYALS",IF(G12="LAA","ANGELS",IF(G12="LAD","DODGERS",IF(G12="MIA","MARLINS",IF(G12="MIL","BREWERS",IF(G12="MIN","TWINS",IF(G12="NYM","METS",IF(G12="NYY","YANKEES",IF(G12="OAK","ATHLETICS",IF(G12="PHI","PHILLIES",IF(G12="PIT","PIRATES",IF(G12="SDP","PADRES",IF(G12="SEA","MARINERS",IF(G12="SFG","GIANTS",IF(G12="STL","CARDINALS",IF(G12="TBR","RAYS",IF(G12="TEX","RANGERS",IF(G12="TOR","BLUE JAYS",IF(G12="WSN","NATIONALS","")))))))))))))))))))))))))))))))</f>
        <v/>
      </c>
      <c r="G12" t="inlineStr">
        <is>
          <t>CIN</t>
        </is>
      </c>
      <c r="H12" s="55">
        <f>(O12*0.9)+(K12*0.1)</f>
        <v/>
      </c>
      <c r="J12" t="inlineStr">
        <is>
          <t>CIN</t>
        </is>
      </c>
      <c r="K12" t="n">
        <v>5.036</v>
      </c>
      <c r="L12" t="n">
        <v>87.40000000000001</v>
      </c>
      <c r="N12" s="59" t="n">
        <v>92.09999999999999</v>
      </c>
      <c r="O12" s="60" t="n">
        <v>4.381</v>
      </c>
      <c r="P12" s="58" t="n"/>
      <c r="Q12" t="inlineStr">
        <is>
          <t>Alexander</t>
        </is>
      </c>
      <c r="R12" t="n">
        <v>5.18</v>
      </c>
      <c r="U12" s="53" t="n"/>
      <c r="X12" s="17">
        <f>(V12*0.75)+(W12*0.25)</f>
        <v/>
      </c>
      <c r="Z12" s="44" t="n">
        <v>10</v>
      </c>
      <c r="AA12" s="45" t="inlineStr">
        <is>
          <t>COL</t>
        </is>
      </c>
      <c r="AB12" s="46" t="n">
        <v>12</v>
      </c>
      <c r="AC12" s="46" t="n">
        <v>6</v>
      </c>
      <c r="AD12" s="46" t="n">
        <v>6</v>
      </c>
      <c r="AE12" s="46" t="n">
        <v>5</v>
      </c>
      <c r="AF12" s="46" t="n">
        <v>45</v>
      </c>
      <c r="AG12" s="46" t="n">
        <v>12</v>
      </c>
      <c r="AH12" s="46" t="n">
        <v>105.2</v>
      </c>
      <c r="AI12" s="47" t="n">
        <v>7.92</v>
      </c>
      <c r="AJ12" s="46" t="n">
        <v>2.64</v>
      </c>
      <c r="AK12" s="46" t="n">
        <v>1.02</v>
      </c>
      <c r="AL12" s="46" t="n">
        <v>0.298</v>
      </c>
      <c r="AM12" s="48" t="n">
        <v>0.791</v>
      </c>
      <c r="AN12" s="48" t="n">
        <v>0.475</v>
      </c>
      <c r="AO12" s="48" t="n">
        <v>0.111</v>
      </c>
      <c r="AP12" s="47" t="n">
        <v>94.59999999999999</v>
      </c>
      <c r="AQ12" s="47" t="n">
        <v>3.66</v>
      </c>
      <c r="AR12" s="46" t="n">
        <v>4.24</v>
      </c>
      <c r="AS12" s="46" t="n">
        <v>3.97</v>
      </c>
      <c r="AT12" s="46" t="n">
        <v>3.8</v>
      </c>
      <c r="AU12" s="47" t="n">
        <v>1.4</v>
      </c>
    </row>
    <row r="13" ht="16" customHeight="1">
      <c r="B13">
        <f>IF(C13="ARI","D-BACKS",IF(C13="ATH","ATHLETICS",IF(C13="ATL","BRAVES",IF(C13="BAL","ORIOLES",IF(C13="BOS","RED SOX",IF(C13="CHC","CUBS",IF(C13="CHW","WHITE SOX",IF(C13="CIN","REDS",IF(C13="CLE","GUARDIANS",IF(C13="COL","ROCKIES",IF(C13="DET","TIGERS",IF(C13="HOU","ASTROS",IF(C13="KCR","ROYALS",IF(C13="LAA","ANGELS",IF(C13="LAD","DODGERS",IF(C13="MIA","MARLINS",IF(C13="MIL","BREWERS",IF(C13="MIN","TWINS",IF(C13="NYM","METS",IF(C13="NYY","YANKEES",IF(C13="OAK","ATHLETICS",IF(C13="PHI","PHILLIES",IF(C13="PIT","PIRATES",IF(C13="SDP","PADRES",IF(C13="SEA","MARINERS",IF(C13="SFG","GIANTS",IF(C13="STL","CARDINALS",IF(C13="TBR","RAYS",IF(C13="TEX","RANGERS",IF(C13="TOR","BLUE JAYS",IF(C13="WSN","NATIONALS","")))))))))))))))))))))))))))))))</f>
        <v/>
      </c>
      <c r="C13" t="inlineStr">
        <is>
          <t>CLE</t>
        </is>
      </c>
      <c r="D13" s="54">
        <f>(N13*0.75)+(L13*0.25)</f>
        <v/>
      </c>
      <c r="F13">
        <f>IF(G13="ARI","D-BACKS",IF(G13="ATH","ATHLETICS",IF(G13="ATL","BRAVES",IF(G13="BAL","ORIOLES",IF(G13="BOS","RED SOX",IF(G13="CHC","CUBS",IF(G13="CHW","WHITE SOX",IF(G13="CIN","REDS",IF(G13="CLE","GUARDIANS",IF(G13="COL","ROCKIES",IF(G13="DET","TIGERS",IF(G13="HOU","ASTROS",IF(G13="KCR","ROYALS",IF(G13="LAA","ANGELS",IF(G13="LAD","DODGERS",IF(G13="MIA","MARLINS",IF(G13="MIL","BREWERS",IF(G13="MIN","TWINS",IF(G13="NYM","METS",IF(G13="NYY","YANKEES",IF(G13="OAK","ATHLETICS",IF(G13="PHI","PHILLIES",IF(G13="PIT","PIRATES",IF(G13="SDP","PADRES",IF(G13="SEA","MARINERS",IF(G13="SFG","GIANTS",IF(G13="STL","CARDINALS",IF(G13="TBR","RAYS",IF(G13="TEX","RANGERS",IF(G13="TOR","BLUE JAYS",IF(G13="WSN","NATIONALS","")))))))))))))))))))))))))))))))</f>
        <v/>
      </c>
      <c r="G13" t="inlineStr">
        <is>
          <t>CLE</t>
        </is>
      </c>
      <c r="H13" s="55">
        <f>(O13*0.9)+(K13*0.1)</f>
        <v/>
      </c>
      <c r="J13" t="inlineStr">
        <is>
          <t>CLE</t>
        </is>
      </c>
      <c r="K13" t="n">
        <v>4.091</v>
      </c>
      <c r="L13" t="n">
        <v>95.2</v>
      </c>
      <c r="N13" s="56" t="n">
        <v>87.09999999999999</v>
      </c>
      <c r="O13" s="57" t="n">
        <v>4.008</v>
      </c>
      <c r="P13" s="58" t="n"/>
      <c r="Q13" t="inlineStr">
        <is>
          <t>Allard</t>
        </is>
      </c>
      <c r="R13" t="n">
        <v>3.27</v>
      </c>
      <c r="U13" s="49" t="n"/>
      <c r="X13" s="17">
        <f>(V13*0.75)+(W13*0.25)</f>
        <v/>
      </c>
      <c r="Z13" s="44" t="n">
        <v>11</v>
      </c>
      <c r="AA13" s="45" t="inlineStr">
        <is>
          <t>DET</t>
        </is>
      </c>
      <c r="AB13" s="46" t="n">
        <v>12</v>
      </c>
      <c r="AC13" s="46" t="n">
        <v>4</v>
      </c>
      <c r="AD13" s="46" t="n">
        <v>8</v>
      </c>
      <c r="AE13" s="46" t="n">
        <v>1</v>
      </c>
      <c r="AF13" s="46" t="n">
        <v>46</v>
      </c>
      <c r="AG13" s="46" t="n">
        <v>12</v>
      </c>
      <c r="AH13" s="46" t="n">
        <v>100.1</v>
      </c>
      <c r="AI13" s="47" t="n">
        <v>8.25</v>
      </c>
      <c r="AJ13" s="46" t="n">
        <v>4.4</v>
      </c>
      <c r="AK13" s="46" t="n">
        <v>0.72</v>
      </c>
      <c r="AL13" s="46" t="n">
        <v>0.293</v>
      </c>
      <c r="AM13" s="48" t="n">
        <v>0.6870000000000001</v>
      </c>
      <c r="AN13" s="48" t="n">
        <v>0.446</v>
      </c>
      <c r="AO13" s="48" t="n">
        <v>0.08500000000000001</v>
      </c>
      <c r="AP13" s="47" t="n">
        <v>95</v>
      </c>
      <c r="AQ13" s="47" t="n">
        <v>4.4</v>
      </c>
      <c r="AR13" s="46" t="n">
        <v>4.31</v>
      </c>
      <c r="AS13" s="46" t="n">
        <v>4.03</v>
      </c>
      <c r="AT13" s="46" t="n">
        <v>4.19</v>
      </c>
      <c r="AU13" s="47" t="n">
        <v>0.9</v>
      </c>
    </row>
    <row r="14" ht="16" customHeight="1">
      <c r="B14">
        <f>IF(C14="ARI","D-BACKS",IF(C14="ATH","ATHLETICS",IF(C14="ATL","BRAVES",IF(C14="BAL","ORIOLES",IF(C14="BOS","RED SOX",IF(C14="CHC","CUBS",IF(C14="CHW","WHITE SOX",IF(C14="CIN","REDS",IF(C14="CLE","GUARDIANS",IF(C14="COL","ROCKIES",IF(C14="DET","TIGERS",IF(C14="HOU","ASTROS",IF(C14="KCR","ROYALS",IF(C14="LAA","ANGELS",IF(C14="LAD","DODGERS",IF(C14="MIA","MARLINS",IF(C14="MIL","BREWERS",IF(C14="MIN","TWINS",IF(C14="NYM","METS",IF(C14="NYY","YANKEES",IF(C14="OAK","ATHLETICS",IF(C14="PHI","PHILLIES",IF(C14="PIT","PIRATES",IF(C14="SDP","PADRES",IF(C14="SEA","MARINERS",IF(C14="SFG","GIANTS",IF(C14="STL","CARDINALS",IF(C14="TBR","RAYS",IF(C14="TEX","RANGERS",IF(C14="TOR","BLUE JAYS",IF(C14="WSN","NATIONALS","")))))))))))))))))))))))))))))))</f>
        <v/>
      </c>
      <c r="C14" t="inlineStr">
        <is>
          <t>COL</t>
        </is>
      </c>
      <c r="D14" s="54">
        <f>(N14*0.75)+(L14*0.25)</f>
        <v/>
      </c>
      <c r="F14">
        <f>IF(G14="ARI","D-BACKS",IF(G14="ATH","ATHLETICS",IF(G14="ATL","BRAVES",IF(G14="BAL","ORIOLES",IF(G14="BOS","RED SOX",IF(G14="CHC","CUBS",IF(G14="CHW","WHITE SOX",IF(G14="CIN","REDS",IF(G14="CLE","GUARDIANS",IF(G14="COL","ROCKIES",IF(G14="DET","TIGERS",IF(G14="HOU","ASTROS",IF(G14="KCR","ROYALS",IF(G14="LAA","ANGELS",IF(G14="LAD","DODGERS",IF(G14="MIA","MARLINS",IF(G14="MIL","BREWERS",IF(G14="MIN","TWINS",IF(G14="NYM","METS",IF(G14="NYY","YANKEES",IF(G14="OAK","ATHLETICS",IF(G14="PHI","PHILLIES",IF(G14="PIT","PIRATES",IF(G14="SDP","PADRES",IF(G14="SEA","MARINERS",IF(G14="SFG","GIANTS",IF(G14="STL","CARDINALS",IF(G14="TBR","RAYS",IF(G14="TEX","RANGERS",IF(G14="TOR","BLUE JAYS",IF(G14="WSN","NATIONALS","")))))))))))))))))))))))))))))))</f>
        <v/>
      </c>
      <c r="G14" t="inlineStr">
        <is>
          <t>COL</t>
        </is>
      </c>
      <c r="H14" s="55">
        <f>(O14*0.9)+(K14*0.1)</f>
        <v/>
      </c>
      <c r="J14" t="inlineStr">
        <is>
          <t>COL</t>
        </is>
      </c>
      <c r="K14" t="n">
        <v>4.009</v>
      </c>
      <c r="L14" t="n">
        <v>91.5</v>
      </c>
      <c r="N14" s="59" t="n">
        <v>74.40000000000001</v>
      </c>
      <c r="O14" s="60" t="n">
        <v>4.605</v>
      </c>
      <c r="P14" s="58" t="n"/>
      <c r="Q14" t="inlineStr">
        <is>
          <t>Allen</t>
        </is>
      </c>
      <c r="R14" t="n">
        <v>4.76</v>
      </c>
      <c r="U14" s="53" t="n"/>
      <c r="X14" s="17">
        <f>(V14*0.75)+(W14*0.25)</f>
        <v/>
      </c>
      <c r="Z14" s="44" t="n">
        <v>12</v>
      </c>
      <c r="AA14" s="45" t="inlineStr">
        <is>
          <t>HOU</t>
        </is>
      </c>
      <c r="AB14" s="46" t="n">
        <v>13</v>
      </c>
      <c r="AC14" s="46" t="n">
        <v>6</v>
      </c>
      <c r="AD14" s="46" t="n">
        <v>7</v>
      </c>
      <c r="AE14" s="46" t="n">
        <v>3</v>
      </c>
      <c r="AF14" s="46" t="n">
        <v>53</v>
      </c>
      <c r="AG14" s="46" t="n">
        <v>13</v>
      </c>
      <c r="AH14" s="46" t="n">
        <v>113</v>
      </c>
      <c r="AI14" s="47" t="n">
        <v>10.27</v>
      </c>
      <c r="AJ14" s="46" t="n">
        <v>5.58</v>
      </c>
      <c r="AK14" s="46" t="n">
        <v>1.59</v>
      </c>
      <c r="AL14" s="46" t="n">
        <v>0.329</v>
      </c>
      <c r="AM14" s="48" t="n">
        <v>0.6909999999999999</v>
      </c>
      <c r="AN14" s="48" t="n">
        <v>0.389</v>
      </c>
      <c r="AO14" s="48" t="n">
        <v>0.154</v>
      </c>
      <c r="AP14" s="47" t="n">
        <v>94.59999999999999</v>
      </c>
      <c r="AQ14" s="47" t="n">
        <v>6.05</v>
      </c>
      <c r="AR14" s="46" t="n">
        <v>3.92</v>
      </c>
      <c r="AS14" s="46" t="n">
        <v>5.21</v>
      </c>
      <c r="AT14" s="46" t="n">
        <v>4.39</v>
      </c>
      <c r="AU14" s="47" t="n">
        <v>-0.3</v>
      </c>
    </row>
    <row r="15" ht="16" customHeight="1">
      <c r="B15">
        <f>IF(C15="ARI","D-BACKS",IF(C15="ATH","ATHLETICS",IF(C15="ATL","BRAVES",IF(C15="BAL","ORIOLES",IF(C15="BOS","RED SOX",IF(C15="CHC","CUBS",IF(C15="CHW","WHITE SOX",IF(C15="CIN","REDS",IF(C15="CLE","GUARDIANS",IF(C15="COL","ROCKIES",IF(C15="DET","TIGERS",IF(C15="HOU","ASTROS",IF(C15="KCR","ROYALS",IF(C15="LAA","ANGELS",IF(C15="LAD","DODGERS",IF(C15="MIA","MARLINS",IF(C15="MIL","BREWERS",IF(C15="MIN","TWINS",IF(C15="NYM","METS",IF(C15="NYY","YANKEES",IF(C15="OAK","ATHLETICS",IF(C15="PHI","PHILLIES",IF(C15="PIT","PIRATES",IF(C15="SDP","PADRES",IF(C15="SEA","MARINERS",IF(C15="SFG","GIANTS",IF(C15="STL","CARDINALS",IF(C15="TBR","RAYS",IF(C15="TEX","RANGERS",IF(C15="TOR","BLUE JAYS",IF(C15="WSN","NATIONALS","")))))))))))))))))))))))))))))))</f>
        <v/>
      </c>
      <c r="C15" t="inlineStr">
        <is>
          <t>DET</t>
        </is>
      </c>
      <c r="D15" s="54">
        <f>(N15*0.75)+(L15*0.25)</f>
        <v/>
      </c>
      <c r="F15">
        <f>IF(G15="ARI","D-BACKS",IF(G15="ATH","ATHLETICS",IF(G15="ATL","BRAVES",IF(G15="BAL","ORIOLES",IF(G15="BOS","RED SOX",IF(G15="CHC","CUBS",IF(G15="CHW","WHITE SOX",IF(G15="CIN","REDS",IF(G15="CLE","GUARDIANS",IF(G15="COL","ROCKIES",IF(G15="DET","TIGERS",IF(G15="HOU","ASTROS",IF(G15="KCR","ROYALS",IF(G15="LAA","ANGELS",IF(G15="LAD","DODGERS",IF(G15="MIA","MARLINS",IF(G15="MIL","BREWERS",IF(G15="MIN","TWINS",IF(G15="NYM","METS",IF(G15="NYY","YANKEES",IF(G15="OAK","ATHLETICS",IF(G15="PHI","PHILLIES",IF(G15="PIT","PIRATES",IF(G15="SDP","PADRES",IF(G15="SEA","MARINERS",IF(G15="SFG","GIANTS",IF(G15="STL","CARDINALS",IF(G15="TBR","RAYS",IF(G15="TEX","RANGERS",IF(G15="TOR","BLUE JAYS",IF(G15="WSN","NATIONALS","")))))))))))))))))))))))))))))))</f>
        <v/>
      </c>
      <c r="G15" t="inlineStr">
        <is>
          <t>DET</t>
        </is>
      </c>
      <c r="H15" s="55">
        <f>(O15*0.9)+(K15*0.1)</f>
        <v/>
      </c>
      <c r="J15" t="inlineStr">
        <is>
          <t>DET</t>
        </is>
      </c>
      <c r="K15" t="n">
        <v>3.97</v>
      </c>
      <c r="L15" t="n">
        <v>100.1</v>
      </c>
      <c r="N15" s="56" t="n">
        <v>102.6</v>
      </c>
      <c r="O15" s="57" t="n">
        <v>4.219</v>
      </c>
      <c r="P15" s="58" t="n"/>
      <c r="Q15" t="inlineStr">
        <is>
          <t>Alvarez</t>
        </is>
      </c>
      <c r="R15" t="n">
        <v>4.16</v>
      </c>
      <c r="U15" s="49" t="n"/>
      <c r="X15" s="17">
        <f>(V15*0.75)+(W15*0.25)</f>
        <v/>
      </c>
      <c r="Z15" s="44" t="n">
        <v>13</v>
      </c>
      <c r="AA15" s="45" t="inlineStr">
        <is>
          <t>KCR</t>
        </is>
      </c>
      <c r="AB15" s="46" t="n">
        <v>12</v>
      </c>
      <c r="AC15" s="46" t="n">
        <v>5</v>
      </c>
      <c r="AD15" s="46" t="n">
        <v>7</v>
      </c>
      <c r="AE15" s="46" t="n">
        <v>5</v>
      </c>
      <c r="AF15" s="46" t="n">
        <v>51</v>
      </c>
      <c r="AG15" s="46" t="n">
        <v>12</v>
      </c>
      <c r="AH15" s="46" t="n">
        <v>104.2</v>
      </c>
      <c r="AI15" s="47" t="n">
        <v>9.369999999999999</v>
      </c>
      <c r="AJ15" s="46" t="n">
        <v>4.39</v>
      </c>
      <c r="AK15" s="46" t="n">
        <v>1.29</v>
      </c>
      <c r="AL15" s="46" t="n">
        <v>0.314</v>
      </c>
      <c r="AM15" s="48" t="n">
        <v>0.731</v>
      </c>
      <c r="AN15" s="48" t="n">
        <v>0.392</v>
      </c>
      <c r="AO15" s="48" t="n">
        <v>0.128</v>
      </c>
      <c r="AP15" s="47" t="n">
        <v>93.5</v>
      </c>
      <c r="AQ15" s="47" t="n">
        <v>4.64</v>
      </c>
      <c r="AR15" s="46" t="n">
        <v>4.24</v>
      </c>
      <c r="AS15" s="46" t="n">
        <v>4.51</v>
      </c>
      <c r="AT15" s="46" t="n">
        <v>4.07</v>
      </c>
      <c r="AU15" s="47" t="n">
        <v>0.3</v>
      </c>
    </row>
    <row r="16" ht="16" customHeight="1">
      <c r="B16">
        <f>IF(C16="ARI","D-BACKS",IF(C16="ATH","ATHLETICS",IF(C16="ATL","BRAVES",IF(C16="BAL","ORIOLES",IF(C16="BOS","RED SOX",IF(C16="CHC","CUBS",IF(C16="CHW","WHITE SOX",IF(C16="CIN","REDS",IF(C16="CLE","GUARDIANS",IF(C16="COL","ROCKIES",IF(C16="DET","TIGERS",IF(C16="HOU","ASTROS",IF(C16="KCR","ROYALS",IF(C16="LAA","ANGELS",IF(C16="LAD","DODGERS",IF(C16="MIA","MARLINS",IF(C16="MIL","BREWERS",IF(C16="MIN","TWINS",IF(C16="NYM","METS",IF(C16="NYY","YANKEES",IF(C16="OAK","ATHLETICS",IF(C16="PHI","PHILLIES",IF(C16="PIT","PIRATES",IF(C16="SDP","PADRES",IF(C16="SEA","MARINERS",IF(C16="SFG","GIANTS",IF(C16="STL","CARDINALS",IF(C16="TBR","RAYS",IF(C16="TEX","RANGERS",IF(C16="TOR","BLUE JAYS",IF(C16="WSN","NATIONALS","")))))))))))))))))))))))))))))))</f>
        <v/>
      </c>
      <c r="C16" t="inlineStr">
        <is>
          <t>HOU</t>
        </is>
      </c>
      <c r="D16" s="54">
        <f>(N16*0.75)+(L16*0.25)</f>
        <v/>
      </c>
      <c r="F16">
        <f>IF(G16="ARI","D-BACKS",IF(G16="ATH","ATHLETICS",IF(G16="ATL","BRAVES",IF(G16="BAL","ORIOLES",IF(G16="BOS","RED SOX",IF(G16="CHC","CUBS",IF(G16="CHW","WHITE SOX",IF(G16="CIN","REDS",IF(G16="CLE","GUARDIANS",IF(G16="COL","ROCKIES",IF(G16="DET","TIGERS",IF(G16="HOU","ASTROS",IF(G16="KCR","ROYALS",IF(G16="LAA","ANGELS",IF(G16="LAD","DODGERS",IF(G16="MIA","MARLINS",IF(G16="MIL","BREWERS",IF(G16="MIN","TWINS",IF(G16="NYM","METS",IF(G16="NYY","YANKEES",IF(G16="OAK","ATHLETICS",IF(G16="PHI","PHILLIES",IF(G16="PIT","PIRATES",IF(G16="SDP","PADRES",IF(G16="SEA","MARINERS",IF(G16="SFG","GIANTS",IF(G16="STL","CARDINALS",IF(G16="TBR","RAYS",IF(G16="TEX","RANGERS",IF(G16="TOR","BLUE JAYS",IF(G16="WSN","NATIONALS","")))))))))))))))))))))))))))))))</f>
        <v/>
      </c>
      <c r="G16" t="inlineStr">
        <is>
          <t>HOU</t>
        </is>
      </c>
      <c r="H16" s="55">
        <f>(O16*0.9)+(K16*0.1)</f>
        <v/>
      </c>
      <c r="J16" t="inlineStr">
        <is>
          <t>HOU</t>
        </is>
      </c>
      <c r="K16" t="n">
        <v>4.921</v>
      </c>
      <c r="L16" t="n">
        <v>115.9</v>
      </c>
      <c r="N16" s="59" t="n">
        <v>99.8</v>
      </c>
      <c r="O16" s="60" t="n">
        <v>4.078</v>
      </c>
      <c r="P16" s="58" t="n"/>
      <c r="Q16" t="inlineStr">
        <is>
          <t>Anderson</t>
        </is>
      </c>
      <c r="R16" t="n">
        <v>5.41</v>
      </c>
      <c r="U16" s="53" t="n"/>
      <c r="X16" s="17">
        <f>(V16*0.75)+(W16*0.25)</f>
        <v/>
      </c>
      <c r="Z16" s="44" t="n">
        <v>14</v>
      </c>
      <c r="AA16" s="45" t="inlineStr">
        <is>
          <t>LAA</t>
        </is>
      </c>
      <c r="AB16" s="46" t="n">
        <v>13</v>
      </c>
      <c r="AC16" s="46" t="n">
        <v>6</v>
      </c>
      <c r="AD16" s="46" t="n">
        <v>7</v>
      </c>
      <c r="AE16" s="46" t="n">
        <v>4</v>
      </c>
      <c r="AF16" s="46" t="n">
        <v>54</v>
      </c>
      <c r="AG16" s="46" t="n">
        <v>13</v>
      </c>
      <c r="AH16" s="46" t="n">
        <v>116</v>
      </c>
      <c r="AI16" s="47" t="n">
        <v>9.619999999999999</v>
      </c>
      <c r="AJ16" s="46" t="n">
        <v>5.12</v>
      </c>
      <c r="AK16" s="46" t="n">
        <v>0.54</v>
      </c>
      <c r="AL16" s="46" t="n">
        <v>0.294</v>
      </c>
      <c r="AM16" s="48" t="n">
        <v>0.674</v>
      </c>
      <c r="AN16" s="48" t="n">
        <v>0.449</v>
      </c>
      <c r="AO16" s="48" t="n">
        <v>0.062</v>
      </c>
      <c r="AP16" s="47" t="n">
        <v>95.3</v>
      </c>
      <c r="AQ16" s="47" t="n">
        <v>3.96</v>
      </c>
      <c r="AR16" s="46" t="n">
        <v>3.66</v>
      </c>
      <c r="AS16" s="46" t="n">
        <v>3.69</v>
      </c>
      <c r="AT16" s="46" t="n">
        <v>4.15</v>
      </c>
      <c r="AU16" s="47" t="n">
        <v>1.4</v>
      </c>
    </row>
    <row r="17" ht="16" customHeight="1">
      <c r="B17">
        <f>IF(C17="ARI","D-BACKS",IF(C17="ATH","ATHLETICS",IF(C17="ATL","BRAVES",IF(C17="BAL","ORIOLES",IF(C17="BOS","RED SOX",IF(C17="CHC","CUBS",IF(C17="CHW","WHITE SOX",IF(C17="CIN","REDS",IF(C17="CLE","GUARDIANS",IF(C17="COL","ROCKIES",IF(C17="DET","TIGERS",IF(C17="HOU","ASTROS",IF(C17="KCR","ROYALS",IF(C17="LAA","ANGELS",IF(C17="LAD","DODGERS",IF(C17="MIA","MARLINS",IF(C17="MIL","BREWERS",IF(C17="MIN","TWINS",IF(C17="NYM","METS",IF(C17="NYY","YANKEES",IF(C17="OAK","ATHLETICS",IF(C17="PHI","PHILLIES",IF(C17="PIT","PIRATES",IF(C17="SDP","PADRES",IF(C17="SEA","MARINERS",IF(C17="SFG","GIANTS",IF(C17="STL","CARDINALS",IF(C17="TBR","RAYS",IF(C17="TEX","RANGERS",IF(C17="TOR","BLUE JAYS",IF(C17="WSN","NATIONALS","")))))))))))))))))))))))))))))))</f>
        <v/>
      </c>
      <c r="C17" t="inlineStr">
        <is>
          <t>KCR</t>
        </is>
      </c>
      <c r="D17" s="54">
        <f>(N17*0.75)+(L17*0.25)</f>
        <v/>
      </c>
      <c r="F17">
        <f>IF(G17="ARI","D-BACKS",IF(G17="ATH","ATHLETICS",IF(G17="ATL","BRAVES",IF(G17="BAL","ORIOLES",IF(G17="BOS","RED SOX",IF(G17="CHC","CUBS",IF(G17="CHW","WHITE SOX",IF(G17="CIN","REDS",IF(G17="CLE","GUARDIANS",IF(G17="COL","ROCKIES",IF(G17="DET","TIGERS",IF(G17="HOU","ASTROS",IF(G17="KCR","ROYALS",IF(G17="LAA","ANGELS",IF(G17="LAD","DODGERS",IF(G17="MIA","MARLINS",IF(G17="MIL","BREWERS",IF(G17="MIN","TWINS",IF(G17="NYM","METS",IF(G17="NYY","YANKEES",IF(G17="OAK","ATHLETICS",IF(G17="PHI","PHILLIES",IF(G17="PIT","PIRATES",IF(G17="SDP","PADRES",IF(G17="SEA","MARINERS",IF(G17="SFG","GIANTS",IF(G17="STL","CARDINALS",IF(G17="TBR","RAYS",IF(G17="TEX","RANGERS",IF(G17="TOR","BLUE JAYS",IF(G17="WSN","NATIONALS","")))))))))))))))))))))))))))))))</f>
        <v/>
      </c>
      <c r="G17" t="inlineStr">
        <is>
          <t>KCR</t>
        </is>
      </c>
      <c r="H17" s="55">
        <f>(O17*0.9)+(K17*0.1)</f>
        <v/>
      </c>
      <c r="J17" t="inlineStr">
        <is>
          <t>KCR</t>
        </is>
      </c>
      <c r="K17" t="n">
        <v>4.659</v>
      </c>
      <c r="L17" t="n">
        <v>96.09999999999999</v>
      </c>
      <c r="N17" s="56" t="n">
        <v>93</v>
      </c>
      <c r="O17" s="57" t="n">
        <v>4.212</v>
      </c>
      <c r="P17" s="58" t="n"/>
      <c r="Q17" t="inlineStr">
        <is>
          <t>Armstrong</t>
        </is>
      </c>
      <c r="R17" t="n">
        <v>2.81</v>
      </c>
      <c r="U17" s="61" t="n"/>
      <c r="X17" s="17">
        <f>(V17*0.75)+(W17*0.25)</f>
        <v/>
      </c>
      <c r="Z17" s="44" t="n">
        <v>15</v>
      </c>
      <c r="AA17" s="45" t="inlineStr">
        <is>
          <t>LAD</t>
        </is>
      </c>
      <c r="AB17" s="46" t="n">
        <v>12</v>
      </c>
      <c r="AC17" s="46" t="n">
        <v>9</v>
      </c>
      <c r="AD17" s="46" t="n">
        <v>3</v>
      </c>
      <c r="AE17" s="46" t="n">
        <v>4</v>
      </c>
      <c r="AF17" s="46" t="n">
        <v>52</v>
      </c>
      <c r="AG17" s="46" t="n">
        <v>12</v>
      </c>
      <c r="AH17" s="46" t="n">
        <v>107</v>
      </c>
      <c r="AI17" s="47" t="n">
        <v>7.82</v>
      </c>
      <c r="AJ17" s="46" t="n">
        <v>3.36</v>
      </c>
      <c r="AK17" s="46" t="n">
        <v>0.67</v>
      </c>
      <c r="AL17" s="46" t="n">
        <v>0.249</v>
      </c>
      <c r="AM17" s="48" t="n">
        <v>0.74</v>
      </c>
      <c r="AN17" s="48" t="n">
        <v>0.409</v>
      </c>
      <c r="AO17" s="48" t="n">
        <v>0.062</v>
      </c>
      <c r="AP17" s="47" t="n">
        <v>94.90000000000001</v>
      </c>
      <c r="AQ17" s="47" t="n">
        <v>3.36</v>
      </c>
      <c r="AR17" s="46" t="n">
        <v>3.72</v>
      </c>
      <c r="AS17" s="46" t="n">
        <v>3.67</v>
      </c>
      <c r="AT17" s="46" t="n">
        <v>4.24</v>
      </c>
      <c r="AU17" s="47" t="n">
        <v>1.5</v>
      </c>
    </row>
    <row r="18" ht="16" customHeight="1">
      <c r="B18">
        <f>IF(C18="ARI","D-BACKS",IF(C18="ATH","ATHLETICS",IF(C18="ATL","BRAVES",IF(C18="BAL","ORIOLES",IF(C18="BOS","RED SOX",IF(C18="CHC","CUBS",IF(C18="CHW","WHITE SOX",IF(C18="CIN","REDS",IF(C18="CLE","GUARDIANS",IF(C18="COL","ROCKIES",IF(C18="DET","TIGERS",IF(C18="HOU","ASTROS",IF(C18="KCR","ROYALS",IF(C18="LAA","ANGELS",IF(C18="LAD","DODGERS",IF(C18="MIA","MARLINS",IF(C18="MIL","BREWERS",IF(C18="MIN","TWINS",IF(C18="NYM","METS",IF(C18="NYY","YANKEES",IF(C18="OAK","ATHLETICS",IF(C18="PHI","PHILLIES",IF(C18="PIT","PIRATES",IF(C18="SDP","PADRES",IF(C18="SEA","MARINERS",IF(C18="SFG","GIANTS",IF(C18="STL","CARDINALS",IF(C18="TBR","RAYS",IF(C18="TEX","RANGERS",IF(C18="TOR","BLUE JAYS",IF(C18="WSN","NATIONALS","")))))))))))))))))))))))))))))))</f>
        <v/>
      </c>
      <c r="C18" t="inlineStr">
        <is>
          <t>LAA</t>
        </is>
      </c>
      <c r="D18" s="54">
        <f>(N18*0.75)+(L18*0.25)</f>
        <v/>
      </c>
      <c r="F18">
        <f>IF(G18="ARI","D-BACKS",IF(G18="ATH","ATHLETICS",IF(G18="ATL","BRAVES",IF(G18="BAL","ORIOLES",IF(G18="BOS","RED SOX",IF(G18="CHC","CUBS",IF(G18="CHW","WHITE SOX",IF(G18="CIN","REDS",IF(G18="CLE","GUARDIANS",IF(G18="COL","ROCKIES",IF(G18="DET","TIGERS",IF(G18="HOU","ASTROS",IF(G18="KCR","ROYALS",IF(G18="LAA","ANGELS",IF(G18="LAD","DODGERS",IF(G18="MIA","MARLINS",IF(G18="MIL","BREWERS",IF(G18="MIN","TWINS",IF(G18="NYM","METS",IF(G18="NYY","YANKEES",IF(G18="OAK","ATHLETICS",IF(G18="PHI","PHILLIES",IF(G18="PIT","PIRATES",IF(G18="SDP","PADRES",IF(G18="SEA","MARINERS",IF(G18="SFG","GIANTS",IF(G18="STL","CARDINALS",IF(G18="TBR","RAYS",IF(G18="TEX","RANGERS",IF(G18="TOR","BLUE JAYS",IF(G18="WSN","NATIONALS","")))))))))))))))))))))))))))))))</f>
        <v/>
      </c>
      <c r="G18" t="inlineStr">
        <is>
          <t>LAA</t>
        </is>
      </c>
      <c r="H18" s="55">
        <f>(O18*0.9)+(K18*0.1)</f>
        <v/>
      </c>
      <c r="J18" t="inlineStr">
        <is>
          <t>LAA</t>
        </is>
      </c>
      <c r="K18" t="n">
        <v>4.457</v>
      </c>
      <c r="L18" t="n">
        <v>98.09999999999999</v>
      </c>
      <c r="N18" s="59" t="n">
        <v>91.59999999999999</v>
      </c>
      <c r="O18" s="60" t="n">
        <v>4.459</v>
      </c>
      <c r="P18" s="58" t="n"/>
      <c r="Q18" t="inlineStr">
        <is>
          <t>Arrighetti</t>
        </is>
      </c>
      <c r="R18" t="n">
        <v>5.03</v>
      </c>
      <c r="U18" s="62" t="n"/>
      <c r="V18" s="63" t="n"/>
      <c r="W18" s="63" t="n"/>
      <c r="X18" s="17">
        <f>(V18*0.75)+(W18*0.25)</f>
        <v/>
      </c>
      <c r="Z18" s="44" t="n">
        <v>16</v>
      </c>
      <c r="AA18" s="45" t="inlineStr">
        <is>
          <t>MIA</t>
        </is>
      </c>
      <c r="AB18" s="46" t="n">
        <v>12</v>
      </c>
      <c r="AC18" s="46" t="n">
        <v>7</v>
      </c>
      <c r="AD18" s="46" t="n">
        <v>5</v>
      </c>
      <c r="AE18" s="46" t="n">
        <v>4</v>
      </c>
      <c r="AF18" s="46" t="n">
        <v>48</v>
      </c>
      <c r="AG18" s="46" t="n">
        <v>12</v>
      </c>
      <c r="AH18" s="46" t="n">
        <v>107</v>
      </c>
      <c r="AI18" s="47" t="n">
        <v>9.5</v>
      </c>
      <c r="AJ18" s="46" t="n">
        <v>4.12</v>
      </c>
      <c r="AK18" s="46" t="n">
        <v>0.84</v>
      </c>
      <c r="AL18" s="46" t="n">
        <v>0.244</v>
      </c>
      <c r="AM18" s="48" t="n">
        <v>0.667</v>
      </c>
      <c r="AN18" s="48" t="n">
        <v>0.412</v>
      </c>
      <c r="AO18" s="48" t="n">
        <v>0.081</v>
      </c>
      <c r="AP18" s="47" t="n">
        <v>96.2</v>
      </c>
      <c r="AQ18" s="47" t="n">
        <v>3.79</v>
      </c>
      <c r="AR18" s="46" t="n">
        <v>3.38</v>
      </c>
      <c r="AS18" s="46" t="n">
        <v>3.82</v>
      </c>
      <c r="AT18" s="46" t="n">
        <v>4.08</v>
      </c>
      <c r="AU18" s="47" t="n">
        <v>1.4</v>
      </c>
    </row>
    <row r="19" ht="16" customHeight="1">
      <c r="B19">
        <f>IF(C19="ARI","D-BACKS",IF(C19="ATH","ATHLETICS",IF(C19="ATL","BRAVES",IF(C19="BAL","ORIOLES",IF(C19="BOS","RED SOX",IF(C19="CHC","CUBS",IF(C19="CHW","WHITE SOX",IF(C19="CIN","REDS",IF(C19="CLE","GUARDIANS",IF(C19="COL","ROCKIES",IF(C19="DET","TIGERS",IF(C19="HOU","ASTROS",IF(C19="KCR","ROYALS",IF(C19="LAA","ANGELS",IF(C19="LAD","DODGERS",IF(C19="MIA","MARLINS",IF(C19="MIL","BREWERS",IF(C19="MIN","TWINS",IF(C19="NYM","METS",IF(C19="NYY","YANKEES",IF(C19="OAK","ATHLETICS",IF(C19="PHI","PHILLIES",IF(C19="PIT","PIRATES",IF(C19="SDP","PADRES",IF(C19="SEA","MARINERS",IF(C19="SFG","GIANTS",IF(C19="STL","CARDINALS",IF(C19="TBR","RAYS",IF(C19="TEX","RANGERS",IF(C19="TOR","BLUE JAYS",IF(C19="WSN","NATIONALS","")))))))))))))))))))))))))))))))</f>
        <v/>
      </c>
      <c r="C19" t="inlineStr">
        <is>
          <t>LAD</t>
        </is>
      </c>
      <c r="D19" s="54">
        <f>(N19*0.75)+(L19*0.25)</f>
        <v/>
      </c>
      <c r="F19">
        <f>IF(G19="ARI","D-BACKS",IF(G19="ATH","ATHLETICS",IF(G19="ATL","BRAVES",IF(G19="BAL","ORIOLES",IF(G19="BOS","RED SOX",IF(G19="CHC","CUBS",IF(G19="CHW","WHITE SOX",IF(G19="CIN","REDS",IF(G19="CLE","GUARDIANS",IF(G19="COL","ROCKIES",IF(G19="DET","TIGERS",IF(G19="HOU","ASTROS",IF(G19="KCR","ROYALS",IF(G19="LAA","ANGELS",IF(G19="LAD","DODGERS",IF(G19="MIA","MARLINS",IF(G19="MIL","BREWERS",IF(G19="MIN","TWINS",IF(G19="NYM","METS",IF(G19="NYY","YANKEES",IF(G19="OAK","ATHLETICS",IF(G19="PHI","PHILLIES",IF(G19="PIT","PIRATES",IF(G19="SDP","PADRES",IF(G19="SEA","MARINERS",IF(G19="SFG","GIANTS",IF(G19="STL","CARDINALS",IF(G19="TBR","RAYS",IF(G19="TEX","RANGERS",IF(G19="TOR","BLUE JAYS",IF(G19="WSN","NATIONALS","")))))))))))))))))))))))))))))))</f>
        <v/>
      </c>
      <c r="G19" t="inlineStr">
        <is>
          <t>LAD</t>
        </is>
      </c>
      <c r="H19" s="55">
        <f>(O19*0.9)+(K19*0.1)</f>
        <v/>
      </c>
      <c r="J19" t="inlineStr">
        <is>
          <t>LAD</t>
        </is>
      </c>
      <c r="K19" t="n">
        <v>3.765</v>
      </c>
      <c r="L19" t="n">
        <v>121.1</v>
      </c>
      <c r="N19" s="56" t="n">
        <v>113</v>
      </c>
      <c r="O19" s="57" t="n">
        <v>4.172</v>
      </c>
      <c r="P19" s="58" t="n"/>
      <c r="Q19" t="inlineStr">
        <is>
          <t>Ashby</t>
        </is>
      </c>
      <c r="R19" t="n">
        <v>0.91</v>
      </c>
      <c r="U19" s="64" t="inlineStr">
        <is>
          <t>MEYER</t>
        </is>
      </c>
      <c r="V19" t="n">
        <v>4.13</v>
      </c>
      <c r="W19" t="n">
        <v>2.3</v>
      </c>
      <c r="X19" s="17">
        <f>(V19*0.75)+(W19*0.25)</f>
        <v/>
      </c>
      <c r="Z19" s="44" t="n">
        <v>17</v>
      </c>
      <c r="AA19" s="45" t="inlineStr">
        <is>
          <t>MIL</t>
        </is>
      </c>
      <c r="AB19" s="46" t="n">
        <v>12</v>
      </c>
      <c r="AC19" s="46" t="n">
        <v>8</v>
      </c>
      <c r="AD19" s="46" t="n">
        <v>4</v>
      </c>
      <c r="AE19" s="46" t="n">
        <v>4</v>
      </c>
      <c r="AF19" s="46" t="n">
        <v>52</v>
      </c>
      <c r="AG19" s="46" t="n">
        <v>12</v>
      </c>
      <c r="AH19" s="46" t="n">
        <v>105</v>
      </c>
      <c r="AI19" s="47" t="n">
        <v>10.63</v>
      </c>
      <c r="AJ19" s="46" t="n">
        <v>4.63</v>
      </c>
      <c r="AK19" s="46" t="n">
        <v>1.2</v>
      </c>
      <c r="AL19" s="46" t="n">
        <v>0.288</v>
      </c>
      <c r="AM19" s="48" t="n">
        <v>0.789</v>
      </c>
      <c r="AN19" s="48" t="n">
        <v>0.406</v>
      </c>
      <c r="AO19" s="48" t="n">
        <v>0.131</v>
      </c>
      <c r="AP19" s="47" t="n">
        <v>96</v>
      </c>
      <c r="AQ19" s="47" t="n">
        <v>3.6</v>
      </c>
      <c r="AR19" s="46" t="n">
        <v>3.75</v>
      </c>
      <c r="AS19" s="46" t="n">
        <v>4.24</v>
      </c>
      <c r="AT19" s="46" t="n">
        <v>3.81</v>
      </c>
      <c r="AU19" s="47" t="n">
        <v>0.5</v>
      </c>
    </row>
    <row r="20" ht="16" customHeight="1">
      <c r="B20">
        <f>IF(C20="ARI","D-BACKS",IF(C20="ATH","ATHLETICS",IF(C20="ATL","BRAVES",IF(C20="BAL","ORIOLES",IF(C20="BOS","RED SOX",IF(C20="CHC","CUBS",IF(C20="CHW","WHITE SOX",IF(C20="CIN","REDS",IF(C20="CLE","GUARDIANS",IF(C20="COL","ROCKIES",IF(C20="DET","TIGERS",IF(C20="HOU","ASTROS",IF(C20="KCR","ROYALS",IF(C20="LAA","ANGELS",IF(C20="LAD","DODGERS",IF(C20="MIA","MARLINS",IF(C20="MIL","BREWERS",IF(C20="MIN","TWINS",IF(C20="NYM","METS",IF(C20="NYY","YANKEES",IF(C20="OAK","ATHLETICS",IF(C20="PHI","PHILLIES",IF(C20="PIT","PIRATES",IF(C20="SDP","PADRES",IF(C20="SEA","MARINERS",IF(C20="SFG","GIANTS",IF(C20="STL","CARDINALS",IF(C20="TBR","RAYS",IF(C20="TEX","RANGERS",IF(C20="TOR","BLUE JAYS",IF(C20="WSN","NATIONALS","")))))))))))))))))))))))))))))))</f>
        <v/>
      </c>
      <c r="C20" t="inlineStr">
        <is>
          <t>MIA</t>
        </is>
      </c>
      <c r="D20" s="54">
        <f>(N20*0.75)+(L20*0.25)</f>
        <v/>
      </c>
      <c r="F20">
        <f>IF(G20="ARI","D-BACKS",IF(G20="ATH","ATHLETICS",IF(G20="ATL","BRAVES",IF(G20="BAL","ORIOLES",IF(G20="BOS","RED SOX",IF(G20="CHC","CUBS",IF(G20="CHW","WHITE SOX",IF(G20="CIN","REDS",IF(G20="CLE","GUARDIANS",IF(G20="COL","ROCKIES",IF(G20="DET","TIGERS",IF(G20="HOU","ASTROS",IF(G20="KCR","ROYALS",IF(G20="LAA","ANGELS",IF(G20="LAD","DODGERS",IF(G20="MIA","MARLINS",IF(G20="MIL","BREWERS",IF(G20="MIN","TWINS",IF(G20="NYM","METS",IF(G20="NYY","YANKEES",IF(G20="OAK","ATHLETICS",IF(G20="PHI","PHILLIES",IF(G20="PIT","PIRATES",IF(G20="SDP","PADRES",IF(G20="SEA","MARINERS",IF(G20="SFG","GIANTS",IF(G20="STL","CARDINALS",IF(G20="TBR","RAYS",IF(G20="TEX","RANGERS",IF(G20="TOR","BLUE JAYS",IF(G20="WSN","NATIONALS","")))))))))))))))))))))))))))))))</f>
        <v/>
      </c>
      <c r="G20" t="inlineStr">
        <is>
          <t>MIA</t>
        </is>
      </c>
      <c r="H20" s="55">
        <f>(O20*0.9)+(K20*0.1)</f>
        <v/>
      </c>
      <c r="J20" t="inlineStr">
        <is>
          <t>MIA</t>
        </is>
      </c>
      <c r="K20" t="n">
        <v>4.267</v>
      </c>
      <c r="L20" t="n">
        <v>99.7</v>
      </c>
      <c r="N20" s="59" t="n">
        <v>95.8</v>
      </c>
      <c r="O20" s="60" t="n">
        <v>4.35</v>
      </c>
      <c r="P20" s="58" t="n"/>
      <c r="Q20" t="inlineStr">
        <is>
          <t>Ashcraft</t>
        </is>
      </c>
      <c r="R20" t="n">
        <v>3.18</v>
      </c>
      <c r="U20" s="53" t="inlineStr">
        <is>
          <t>WEATHERS</t>
        </is>
      </c>
      <c r="V20">
        <f>VLOOKUP(U20, $Q$5:$R$1124, 2, FALSE)</f>
        <v/>
      </c>
      <c r="W20" t="n">
        <v>3.1</v>
      </c>
      <c r="X20" s="17">
        <f>(V20*0.75)+(W20*0.25)</f>
        <v/>
      </c>
      <c r="Z20" s="44" t="n">
        <v>18</v>
      </c>
      <c r="AA20" s="45" t="inlineStr">
        <is>
          <t>MIN</t>
        </is>
      </c>
      <c r="AB20" s="46" t="n">
        <v>12</v>
      </c>
      <c r="AC20" s="46" t="n">
        <v>6</v>
      </c>
      <c r="AD20" s="46" t="n">
        <v>6</v>
      </c>
      <c r="AE20" s="46" t="n">
        <v>4</v>
      </c>
      <c r="AF20" s="46" t="n">
        <v>58</v>
      </c>
      <c r="AG20" s="46" t="n">
        <v>12</v>
      </c>
      <c r="AH20" s="46" t="n">
        <v>105</v>
      </c>
      <c r="AI20" s="47" t="n">
        <v>8.4</v>
      </c>
      <c r="AJ20" s="46" t="n">
        <v>4.11</v>
      </c>
      <c r="AK20" s="46" t="n">
        <v>0.6</v>
      </c>
      <c r="AL20" s="46" t="n">
        <v>0.314</v>
      </c>
      <c r="AM20" s="48" t="n">
        <v>0.708</v>
      </c>
      <c r="AN20" s="48" t="n">
        <v>0.351</v>
      </c>
      <c r="AO20" s="48" t="n">
        <v>0.053</v>
      </c>
      <c r="AP20" s="47" t="n">
        <v>94.09999999999999</v>
      </c>
      <c r="AQ20" s="47" t="n">
        <v>4.11</v>
      </c>
      <c r="AR20" s="46" t="n">
        <v>4.13</v>
      </c>
      <c r="AS20" s="46" t="n">
        <v>3.86</v>
      </c>
      <c r="AT20" s="46" t="n">
        <v>4.59</v>
      </c>
      <c r="AU20" s="47" t="n">
        <v>1.4</v>
      </c>
    </row>
    <row r="21" ht="16" customHeight="1">
      <c r="B21">
        <f>IF(C21="ARI","D-BACKS",IF(C21="ATH","ATHLETICS",IF(C21="ATL","BRAVES",IF(C21="BAL","ORIOLES",IF(C21="BOS","RED SOX",IF(C21="CHC","CUBS",IF(C21="CHW","WHITE SOX",IF(C21="CIN","REDS",IF(C21="CLE","GUARDIANS",IF(C21="COL","ROCKIES",IF(C21="DET","TIGERS",IF(C21="HOU","ASTROS",IF(C21="KCR","ROYALS",IF(C21="LAA","ANGELS",IF(C21="LAD","DODGERS",IF(C21="MIA","MARLINS",IF(C21="MIL","BREWERS",IF(C21="MIN","TWINS",IF(C21="NYM","METS",IF(C21="NYY","YANKEES",IF(C21="OAK","ATHLETICS",IF(C21="PHI","PHILLIES",IF(C21="PIT","PIRATES",IF(C21="SDP","PADRES",IF(C21="SEA","MARINERS",IF(C21="SFG","GIANTS",IF(C21="STL","CARDINALS",IF(C21="TBR","RAYS",IF(C21="TEX","RANGERS",IF(C21="TOR","BLUE JAYS",IF(C21="WSN","NATIONALS","")))))))))))))))))))))))))))))))</f>
        <v/>
      </c>
      <c r="C21" t="inlineStr">
        <is>
          <t>MIL</t>
        </is>
      </c>
      <c r="D21" s="54">
        <f>(N21*0.75)+(L21*0.25)</f>
        <v/>
      </c>
      <c r="F21">
        <f>IF(G21="ARI","D-BACKS",IF(G21="ATH","ATHLETICS",IF(G21="ATL","BRAVES",IF(G21="BAL","ORIOLES",IF(G21="BOS","RED SOX",IF(G21="CHC","CUBS",IF(G21="CHW","WHITE SOX",IF(G21="CIN","REDS",IF(G21="CLE","GUARDIANS",IF(G21="COL","ROCKIES",IF(G21="DET","TIGERS",IF(G21="HOU","ASTROS",IF(G21="KCR","ROYALS",IF(G21="LAA","ANGELS",IF(G21="LAD","DODGERS",IF(G21="MIA","MARLINS",IF(G21="MIL","BREWERS",IF(G21="MIN","TWINS",IF(G21="NYM","METS",IF(G21="NYY","YANKEES",IF(G21="OAK","ATHLETICS",IF(G21="PHI","PHILLIES",IF(G21="PIT","PIRATES",IF(G21="SDP","PADRES",IF(G21="SEA","MARINERS",IF(G21="SFG","GIANTS",IF(G21="STL","CARDINALS",IF(G21="TBR","RAYS",IF(G21="TEX","RANGERS",IF(G21="TOR","BLUE JAYS",IF(G21="WSN","NATIONALS","")))))))))))))))))))))))))))))))</f>
        <v/>
      </c>
      <c r="G21" t="inlineStr">
        <is>
          <t>MIL</t>
        </is>
      </c>
      <c r="H21" s="55">
        <f>(O21*0.9)+(K21*0.1)</f>
        <v/>
      </c>
      <c r="J21" t="inlineStr">
        <is>
          <t>MIL</t>
        </is>
      </c>
      <c r="K21" t="n">
        <v>3.7</v>
      </c>
      <c r="L21" t="n">
        <v>96.8</v>
      </c>
      <c r="N21" s="56" t="n">
        <v>106.8</v>
      </c>
      <c r="O21" s="57" t="n">
        <v>4.061</v>
      </c>
      <c r="P21" s="58" t="n"/>
      <c r="Q21" t="inlineStr">
        <is>
          <t>Assad</t>
        </is>
      </c>
      <c r="R21" t="n">
        <v>4.59</v>
      </c>
      <c r="U21" s="49" t="inlineStr">
        <is>
          <t>ABEL</t>
        </is>
      </c>
      <c r="V21">
        <f>VLOOKUP(U21, $Q$5:$R$1124, 2, FALSE)</f>
        <v/>
      </c>
      <c r="W21" t="n">
        <v>5.43</v>
      </c>
      <c r="X21" s="17">
        <f>(V21*0.75)+(W21*0.25)</f>
        <v/>
      </c>
      <c r="Z21" s="44" t="n">
        <v>19</v>
      </c>
      <c r="AA21" s="45" t="inlineStr">
        <is>
          <t>NYM</t>
        </is>
      </c>
      <c r="AB21" s="46" t="n">
        <v>12</v>
      </c>
      <c r="AC21" s="46" t="n">
        <v>7</v>
      </c>
      <c r="AD21" s="46" t="n">
        <v>5</v>
      </c>
      <c r="AE21" s="46" t="n">
        <v>2</v>
      </c>
      <c r="AF21" s="46" t="n">
        <v>48</v>
      </c>
      <c r="AG21" s="46" t="n">
        <v>12</v>
      </c>
      <c r="AH21" s="46" t="n">
        <v>111.2</v>
      </c>
      <c r="AI21" s="47" t="n">
        <v>8.869999999999999</v>
      </c>
      <c r="AJ21" s="46" t="n">
        <v>3.3</v>
      </c>
      <c r="AK21" s="46" t="n">
        <v>0.5600000000000001</v>
      </c>
      <c r="AL21" s="46" t="n">
        <v>0.281</v>
      </c>
      <c r="AM21" s="48" t="n">
        <v>0.745</v>
      </c>
      <c r="AN21" s="48" t="n">
        <v>0.451</v>
      </c>
      <c r="AO21" s="48" t="n">
        <v>0.067</v>
      </c>
      <c r="AP21" s="47" t="n">
        <v>93.90000000000001</v>
      </c>
      <c r="AQ21" s="47" t="n">
        <v>2.9</v>
      </c>
      <c r="AR21" s="46" t="n">
        <v>3.12</v>
      </c>
      <c r="AS21" s="46" t="n">
        <v>3.18</v>
      </c>
      <c r="AT21" s="46" t="n">
        <v>3.57</v>
      </c>
      <c r="AU21" s="47" t="n">
        <v>2.1</v>
      </c>
    </row>
    <row r="22" ht="16" customHeight="1">
      <c r="B22">
        <f>IF(C22="ARI","D-BACKS",IF(C22="ATH","ATHLETICS",IF(C22="ATL","BRAVES",IF(C22="BAL","ORIOLES",IF(C22="BOS","RED SOX",IF(C22="CHC","CUBS",IF(C22="CHW","WHITE SOX",IF(C22="CIN","REDS",IF(C22="CLE","GUARDIANS",IF(C22="COL","ROCKIES",IF(C22="DET","TIGERS",IF(C22="HOU","ASTROS",IF(C22="KCR","ROYALS",IF(C22="LAA","ANGELS",IF(C22="LAD","DODGERS",IF(C22="MIA","MARLINS",IF(C22="MIL","BREWERS",IF(C22="MIN","TWINS",IF(C22="NYM","METS",IF(C22="NYY","YANKEES",IF(C22="OAK","ATHLETICS",IF(C22="PHI","PHILLIES",IF(C22="PIT","PIRATES",IF(C22="SDP","PADRES",IF(C22="SEA","MARINERS",IF(C22="SFG","GIANTS",IF(C22="STL","CARDINALS",IF(C22="TBR","RAYS",IF(C22="TEX","RANGERS",IF(C22="TOR","BLUE JAYS",IF(C22="WSN","NATIONALS","")))))))))))))))))))))))))))))))</f>
        <v/>
      </c>
      <c r="C22" t="inlineStr">
        <is>
          <t>MIN</t>
        </is>
      </c>
      <c r="D22" s="54">
        <f>(N22*0.75)+(L22*0.25)</f>
        <v/>
      </c>
      <c r="F22">
        <f>IF(G22="ARI","D-BACKS",IF(G22="ATH","ATHLETICS",IF(G22="ATL","BRAVES",IF(G22="BAL","ORIOLES",IF(G22="BOS","RED SOX",IF(G22="CHC","CUBS",IF(G22="CHW","WHITE SOX",IF(G22="CIN","REDS",IF(G22="CLE","GUARDIANS",IF(G22="COL","ROCKIES",IF(G22="DET","TIGERS",IF(G22="HOU","ASTROS",IF(G22="KCR","ROYALS",IF(G22="LAA","ANGELS",IF(G22="LAD","DODGERS",IF(G22="MIA","MARLINS",IF(G22="MIL","BREWERS",IF(G22="MIN","TWINS",IF(G22="NYM","METS",IF(G22="NYY","YANKEES",IF(G22="OAK","ATHLETICS",IF(G22="PHI","PHILLIES",IF(G22="PIT","PIRATES",IF(G22="SDP","PADRES",IF(G22="SEA","MARINERS",IF(G22="SFG","GIANTS",IF(G22="STL","CARDINALS",IF(G22="TBR","RAYS",IF(G22="TEX","RANGERS",IF(G22="TOR","BLUE JAYS",IF(G22="WSN","NATIONALS","")))))))))))))))))))))))))))))))</f>
        <v/>
      </c>
      <c r="G22" t="inlineStr">
        <is>
          <t>MIN</t>
        </is>
      </c>
      <c r="H22" s="55">
        <f>(O22*0.9)+(K22*0.1)</f>
        <v/>
      </c>
      <c r="J22" t="inlineStr">
        <is>
          <t>MIN</t>
        </is>
      </c>
      <c r="K22" t="n">
        <v>5.065</v>
      </c>
      <c r="L22" t="n">
        <v>98</v>
      </c>
      <c r="N22" s="59" t="n">
        <v>96.90000000000001</v>
      </c>
      <c r="O22" s="60" t="n">
        <v>4.085</v>
      </c>
      <c r="P22" s="58" t="n"/>
      <c r="Q22" t="inlineStr">
        <is>
          <t>Bachar</t>
        </is>
      </c>
      <c r="R22" t="n">
        <v>3.45</v>
      </c>
      <c r="U22" s="53" t="inlineStr">
        <is>
          <t>MCLEAN</t>
        </is>
      </c>
      <c r="V22">
        <f>VLOOKUP(U22, $Q$5:$R$1124, 2, FALSE)</f>
        <v/>
      </c>
      <c r="W22" t="n">
        <v>3.57</v>
      </c>
      <c r="X22" s="17">
        <f>(V22*0.75)+(W22*0.25)</f>
        <v/>
      </c>
      <c r="Z22" s="44" t="n">
        <v>20</v>
      </c>
      <c r="AA22" s="45" t="inlineStr">
        <is>
          <t>NYY</t>
        </is>
      </c>
      <c r="AB22" s="46" t="n">
        <v>11</v>
      </c>
      <c r="AC22" s="46" t="n">
        <v>8</v>
      </c>
      <c r="AD22" s="46" t="n">
        <v>3</v>
      </c>
      <c r="AE22" s="46" t="n">
        <v>5</v>
      </c>
      <c r="AF22" s="46" t="n">
        <v>53</v>
      </c>
      <c r="AG22" s="46" t="n">
        <v>11</v>
      </c>
      <c r="AH22" s="46" t="n">
        <v>98.09999999999999</v>
      </c>
      <c r="AI22" s="47" t="n">
        <v>9.699999999999999</v>
      </c>
      <c r="AJ22" s="46" t="n">
        <v>2.65</v>
      </c>
      <c r="AK22" s="46" t="n">
        <v>0.18</v>
      </c>
      <c r="AL22" s="46" t="n">
        <v>0.28</v>
      </c>
      <c r="AM22" s="48" t="n">
        <v>0.758</v>
      </c>
      <c r="AN22" s="48" t="n">
        <v>0.496</v>
      </c>
      <c r="AO22" s="48" t="n">
        <v>0.025</v>
      </c>
      <c r="AP22" s="47" t="n">
        <v>95.2</v>
      </c>
      <c r="AQ22" s="47" t="n">
        <v>2.47</v>
      </c>
      <c r="AR22" s="46" t="n">
        <v>2.55</v>
      </c>
      <c r="AS22" s="46" t="n">
        <v>2.29</v>
      </c>
      <c r="AT22" s="46" t="n">
        <v>3.08</v>
      </c>
      <c r="AU22" s="47" t="n">
        <v>2.9</v>
      </c>
    </row>
    <row r="23" ht="16" customHeight="1">
      <c r="B23">
        <f>IF(C23="ARI","D-BACKS",IF(C23="ATH","ATHLETICS",IF(C23="ATL","BRAVES",IF(C23="BAL","ORIOLES",IF(C23="BOS","RED SOX",IF(C23="CHC","CUBS",IF(C23="CHW","WHITE SOX",IF(C23="CIN","REDS",IF(C23="CLE","GUARDIANS",IF(C23="COL","ROCKIES",IF(C23="DET","TIGERS",IF(C23="HOU","ASTROS",IF(C23="KCR","ROYALS",IF(C23="LAA","ANGELS",IF(C23="LAD","DODGERS",IF(C23="MIA","MARLINS",IF(C23="MIL","BREWERS",IF(C23="MIN","TWINS",IF(C23="NYM","METS",IF(C23="NYY","YANKEES",IF(C23="OAK","ATHLETICS",IF(C23="PHI","PHILLIES",IF(C23="PIT","PIRATES",IF(C23="SDP","PADRES",IF(C23="SEA","MARINERS",IF(C23="SFG","GIANTS",IF(C23="STL","CARDINALS",IF(C23="TBR","RAYS",IF(C23="TEX","RANGERS",IF(C23="TOR","BLUE JAYS",IF(C23="WSN","NATIONALS","")))))))))))))))))))))))))))))))</f>
        <v/>
      </c>
      <c r="C23" t="inlineStr">
        <is>
          <t>NYM</t>
        </is>
      </c>
      <c r="D23" s="54">
        <f>(N23*0.75)+(L23*0.25)</f>
        <v/>
      </c>
      <c r="F23">
        <f>IF(G23="ARI","D-BACKS",IF(G23="ATH","ATHLETICS",IF(G23="ATL","BRAVES",IF(G23="BAL","ORIOLES",IF(G23="BOS","RED SOX",IF(G23="CHC","CUBS",IF(G23="CHW","WHITE SOX",IF(G23="CIN","REDS",IF(G23="CLE","GUARDIANS",IF(G23="COL","ROCKIES",IF(G23="DET","TIGERS",IF(G23="HOU","ASTROS",IF(G23="KCR","ROYALS",IF(G23="LAA","ANGELS",IF(G23="LAD","DODGERS",IF(G23="MIA","MARLINS",IF(G23="MIL","BREWERS",IF(G23="MIN","TWINS",IF(G23="NYM","METS",IF(G23="NYY","YANKEES",IF(G23="OAK","ATHLETICS",IF(G23="PHI","PHILLIES",IF(G23="PIT","PIRATES",IF(G23="SDP","PADRES",IF(G23="SEA","MARINERS",IF(G23="SFG","GIANTS",IF(G23="STL","CARDINALS",IF(G23="TBR","RAYS",IF(G23="TEX","RANGERS",IF(G23="TOR","BLUE JAYS",IF(G23="WSN","NATIONALS","")))))))))))))))))))))))))))))))</f>
        <v/>
      </c>
      <c r="G23" t="inlineStr">
        <is>
          <t>NYM</t>
        </is>
      </c>
      <c r="H23" s="55">
        <f>(O23*0.9)+(K23*0.1)</f>
        <v/>
      </c>
      <c r="J23" t="inlineStr">
        <is>
          <t>NYM</t>
        </is>
      </c>
      <c r="K23" t="n">
        <v>3.613</v>
      </c>
      <c r="L23" t="n">
        <v>81.2</v>
      </c>
      <c r="N23" s="56" t="n">
        <v>112.4</v>
      </c>
      <c r="O23" s="57" t="n">
        <v>4.066</v>
      </c>
      <c r="P23" s="58" t="n"/>
      <c r="Q23" t="inlineStr">
        <is>
          <t>Banda</t>
        </is>
      </c>
      <c r="R23" t="n">
        <v>10.76</v>
      </c>
      <c r="U23" s="49" t="inlineStr">
        <is>
          <t>LUGO</t>
        </is>
      </c>
      <c r="V23">
        <f>VLOOKUP(U23, $Q$5:$R$1124, 2, FALSE)</f>
        <v/>
      </c>
      <c r="W23" t="n">
        <v>1.94</v>
      </c>
      <c r="X23" s="17">
        <f>(V23*0.75)+(W23*0.25)</f>
        <v/>
      </c>
      <c r="Z23" s="44" t="n">
        <v>21</v>
      </c>
      <c r="AA23" s="45" t="inlineStr">
        <is>
          <t>PHI</t>
        </is>
      </c>
      <c r="AB23" s="46" t="n">
        <v>12</v>
      </c>
      <c r="AC23" s="46" t="n">
        <v>6</v>
      </c>
      <c r="AD23" s="46" t="n">
        <v>6</v>
      </c>
      <c r="AE23" s="46" t="n">
        <v>4</v>
      </c>
      <c r="AF23" s="46" t="n">
        <v>55</v>
      </c>
      <c r="AG23" s="46" t="n">
        <v>12</v>
      </c>
      <c r="AH23" s="46" t="n">
        <v>107</v>
      </c>
      <c r="AI23" s="47" t="n">
        <v>10.09</v>
      </c>
      <c r="AJ23" s="46" t="n">
        <v>2.19</v>
      </c>
      <c r="AK23" s="46" t="n">
        <v>0.84</v>
      </c>
      <c r="AL23" s="46" t="n">
        <v>0.341</v>
      </c>
      <c r="AM23" s="48" t="n">
        <v>0.653</v>
      </c>
      <c r="AN23" s="48" t="n">
        <v>0.475</v>
      </c>
      <c r="AO23" s="48" t="n">
        <v>0.098</v>
      </c>
      <c r="AP23" s="47" t="n">
        <v>95.3</v>
      </c>
      <c r="AQ23" s="47" t="n">
        <v>4.21</v>
      </c>
      <c r="AR23" s="46" t="n">
        <v>3.11</v>
      </c>
      <c r="AS23" s="46" t="n">
        <v>2.91</v>
      </c>
      <c r="AT23" s="46" t="n">
        <v>2.91</v>
      </c>
      <c r="AU23" s="47" t="n">
        <v>2.3</v>
      </c>
    </row>
    <row r="24" ht="16" customHeight="1">
      <c r="B24">
        <f>IF(C24="ARI","D-BACKS",IF(C24="ATH","ATHLETICS",IF(C24="ATL","BRAVES",IF(C24="BAL","ORIOLES",IF(C24="BOS","RED SOX",IF(C24="CHC","CUBS",IF(C24="CHW","WHITE SOX",IF(C24="CIN","REDS",IF(C24="CLE","GUARDIANS",IF(C24="COL","ROCKIES",IF(C24="DET","TIGERS",IF(C24="HOU","ASTROS",IF(C24="KCR","ROYALS",IF(C24="LAA","ANGELS",IF(C24="LAD","DODGERS",IF(C24="MIA","MARLINS",IF(C24="MIL","BREWERS",IF(C24="MIN","TWINS",IF(C24="NYM","METS",IF(C24="NYY","YANKEES",IF(C24="OAK","ATHLETICS",IF(C24="PHI","PHILLIES",IF(C24="PIT","PIRATES",IF(C24="SDP","PADRES",IF(C24="SEA","MARINERS",IF(C24="SFG","GIANTS",IF(C24="STL","CARDINALS",IF(C24="TBR","RAYS",IF(C24="TEX","RANGERS",IF(C24="TOR","BLUE JAYS",IF(C24="WSN","NATIONALS","")))))))))))))))))))))))))))))))</f>
        <v/>
      </c>
      <c r="C24" t="inlineStr">
        <is>
          <t>NYY</t>
        </is>
      </c>
      <c r="D24" s="54">
        <f>(N24*0.75)+(L24*0.25)</f>
        <v/>
      </c>
      <c r="F24">
        <f>IF(G24="ARI","D-BACKS",IF(G24="ATH","ATHLETICS",IF(G24="ATL","BRAVES",IF(G24="BAL","ORIOLES",IF(G24="BOS","RED SOX",IF(G24="CHC","CUBS",IF(G24="CHW","WHITE SOX",IF(G24="CIN","REDS",IF(G24="CLE","GUARDIANS",IF(G24="COL","ROCKIES",IF(G24="DET","TIGERS",IF(G24="HOU","ASTROS",IF(G24="KCR","ROYALS",IF(G24="LAA","ANGELS",IF(G24="LAD","DODGERS",IF(G24="MIA","MARLINS",IF(G24="MIL","BREWERS",IF(G24="MIN","TWINS",IF(G24="NYM","METS",IF(G24="NYY","YANKEES",IF(G24="OAK","ATHLETICS",IF(G24="PHI","PHILLIES",IF(G24="PIT","PIRATES",IF(G24="SDP","PADRES",IF(G24="SEA","MARINERS",IF(G24="SFG","GIANTS",IF(G24="STL","CARDINALS",IF(G24="TBR","RAYS",IF(G24="TEX","RANGERS",IF(G24="TOR","BLUE JAYS",IF(G24="WSN","NATIONALS","")))))))))))))))))))))))))))))))</f>
        <v/>
      </c>
      <c r="G24" t="inlineStr">
        <is>
          <t>NYY</t>
        </is>
      </c>
      <c r="H24" s="55">
        <f>(O24*0.9)+(K24*0.1)</f>
        <v/>
      </c>
      <c r="J24" t="inlineStr">
        <is>
          <t>NYY</t>
        </is>
      </c>
      <c r="K24" t="n">
        <v>3.899</v>
      </c>
      <c r="L24" t="n">
        <v>117.4</v>
      </c>
      <c r="N24" s="59" t="n">
        <v>118.7</v>
      </c>
      <c r="O24" s="60" t="n">
        <v>3.919</v>
      </c>
      <c r="P24" s="58" t="n"/>
      <c r="Q24" t="inlineStr">
        <is>
          <t>Banks</t>
        </is>
      </c>
      <c r="R24" t="n">
        <v>1.14</v>
      </c>
      <c r="U24" s="53" t="inlineStr">
        <is>
          <t>R. VASQUEZ</t>
        </is>
      </c>
      <c r="V24">
        <f>VLOOKUP(U24, $Q$5:$R$1124, 2, FALSE)</f>
        <v/>
      </c>
      <c r="W24" t="n">
        <v>2.34</v>
      </c>
      <c r="X24" s="17">
        <f>(V24*0.75)+(W24*0.25)</f>
        <v/>
      </c>
      <c r="Z24" s="44" t="n">
        <v>22</v>
      </c>
      <c r="AA24" s="45" t="inlineStr">
        <is>
          <t>PIT</t>
        </is>
      </c>
      <c r="AB24" s="46" t="n">
        <v>12</v>
      </c>
      <c r="AC24" s="46" t="n">
        <v>7</v>
      </c>
      <c r="AD24" s="46" t="n">
        <v>5</v>
      </c>
      <c r="AE24" s="46" t="n">
        <v>2</v>
      </c>
      <c r="AF24" s="46" t="n">
        <v>55</v>
      </c>
      <c r="AG24" s="46" t="n">
        <v>12</v>
      </c>
      <c r="AH24" s="46" t="n">
        <v>108</v>
      </c>
      <c r="AI24" s="47" t="n">
        <v>10</v>
      </c>
      <c r="AJ24" s="46" t="n">
        <v>4.33</v>
      </c>
      <c r="AK24" s="46" t="n">
        <v>0.75</v>
      </c>
      <c r="AL24" s="46" t="n">
        <v>0.288</v>
      </c>
      <c r="AM24" s="48" t="n">
        <v>0.731</v>
      </c>
      <c r="AN24" s="48" t="n">
        <v>0.416</v>
      </c>
      <c r="AO24" s="48" t="n">
        <v>0.081</v>
      </c>
      <c r="AP24" s="47" t="n">
        <v>96.2</v>
      </c>
      <c r="AQ24" s="47" t="n">
        <v>3.33</v>
      </c>
      <c r="AR24" s="46" t="n">
        <v>3.83</v>
      </c>
      <c r="AS24" s="46" t="n">
        <v>3.59</v>
      </c>
      <c r="AT24" s="46" t="n">
        <v>3.83</v>
      </c>
      <c r="AU24" s="47" t="n">
        <v>1.3</v>
      </c>
    </row>
    <row r="25" ht="16" customHeight="1">
      <c r="B25">
        <f>IF(C25="ARI","D-BACKS",IF(C25="ATH","ATHLETICS",IF(C25="ATL","BRAVES",IF(C25="BAL","ORIOLES",IF(C25="BOS","RED SOX",IF(C25="CHC","CUBS",IF(C25="CHW","WHITE SOX",IF(C25="CIN","REDS",IF(C25="CLE","GUARDIANS",IF(C25="COL","ROCKIES",IF(C25="DET","TIGERS",IF(C25="HOU","ASTROS",IF(C25="KCR","ROYALS",IF(C25="LAA","ANGELS",IF(C25="LAD","DODGERS",IF(C25="MIA","MARLINS",IF(C25="MIL","BREWERS",IF(C25="MIN","TWINS",IF(C25="NYM","METS",IF(C25="NYY","YANKEES",IF(C25="OAK","ATHLETICS",IF(C25="PHI","PHILLIES",IF(C25="PIT","PIRATES",IF(C25="SDP","PADRES",IF(C25="SEA","MARINERS",IF(C25="SFG","GIANTS",IF(C25="STL","CARDINALS",IF(C25="TBR","RAYS",IF(C25="TEX","RANGERS",IF(C25="TOR","BLUE JAYS",IF(C25="WSN","NATIONALS","")))))))))))))))))))))))))))))))</f>
        <v/>
      </c>
      <c r="C25" t="inlineStr">
        <is>
          <t>PHI</t>
        </is>
      </c>
      <c r="D25" s="54">
        <f>(N25*0.75)+(L25*0.25)</f>
        <v/>
      </c>
      <c r="F25">
        <f>IF(G25="ARI","D-BACKS",IF(G25="ATH","ATHLETICS",IF(G25="ATL","BRAVES",IF(G25="BAL","ORIOLES",IF(G25="BOS","RED SOX",IF(G25="CHC","CUBS",IF(G25="CHW","WHITE SOX",IF(G25="CIN","REDS",IF(G25="CLE","GUARDIANS",IF(G25="COL","ROCKIES",IF(G25="DET","TIGERS",IF(G25="HOU","ASTROS",IF(G25="KCR","ROYALS",IF(G25="LAA","ANGELS",IF(G25="LAD","DODGERS",IF(G25="MIA","MARLINS",IF(G25="MIL","BREWERS",IF(G25="MIN","TWINS",IF(G25="NYM","METS",IF(G25="NYY","YANKEES",IF(G25="OAK","ATHLETICS",IF(G25="PHI","PHILLIES",IF(G25="PIT","PIRATES",IF(G25="SDP","PADRES",IF(G25="SEA","MARINERS",IF(G25="SFG","GIANTS",IF(G25="STL","CARDINALS",IF(G25="TBR","RAYS",IF(G25="TEX","RANGERS",IF(G25="TOR","BLUE JAYS",IF(G25="WSN","NATIONALS","")))))))))))))))))))))))))))))))</f>
        <v/>
      </c>
      <c r="G25" t="inlineStr">
        <is>
          <t>PHI</t>
        </is>
      </c>
      <c r="H25" s="55">
        <f>(O25*0.9)+(K25*0.1)</f>
        <v/>
      </c>
      <c r="J25" t="inlineStr">
        <is>
          <t>PHI</t>
        </is>
      </c>
      <c r="K25" t="n">
        <v>3.897</v>
      </c>
      <c r="L25" t="n">
        <v>92.90000000000001</v>
      </c>
      <c r="N25" s="56" t="n">
        <v>109.1</v>
      </c>
      <c r="O25" s="57" t="n">
        <v>4.197</v>
      </c>
      <c r="P25" s="58" t="n"/>
      <c r="Q25" t="inlineStr">
        <is>
          <t>Barlow</t>
        </is>
      </c>
      <c r="R25" t="n">
        <v>14.76</v>
      </c>
      <c r="U25" s="49" t="n"/>
      <c r="X25" s="17">
        <f>(V25*0.75)+(W25*0.25)</f>
        <v/>
      </c>
      <c r="Z25" s="44" t="n">
        <v>23</v>
      </c>
      <c r="AA25" s="45" t="inlineStr">
        <is>
          <t>SDP</t>
        </is>
      </c>
      <c r="AB25" s="46" t="n">
        <v>12</v>
      </c>
      <c r="AC25" s="46" t="n">
        <v>6</v>
      </c>
      <c r="AD25" s="46" t="n">
        <v>6</v>
      </c>
      <c r="AE25" s="46" t="n">
        <v>4</v>
      </c>
      <c r="AF25" s="46" t="n">
        <v>51</v>
      </c>
      <c r="AG25" s="46" t="n">
        <v>12</v>
      </c>
      <c r="AH25" s="46" t="n">
        <v>106</v>
      </c>
      <c r="AI25" s="47" t="n">
        <v>9.17</v>
      </c>
      <c r="AJ25" s="46" t="n">
        <v>3.48</v>
      </c>
      <c r="AK25" s="46" t="n">
        <v>0.51</v>
      </c>
      <c r="AL25" s="46" t="n">
        <v>0.316</v>
      </c>
      <c r="AM25" s="48" t="n">
        <v>0.699</v>
      </c>
      <c r="AN25" s="48" t="n">
        <v>0.486</v>
      </c>
      <c r="AO25" s="48" t="n">
        <v>0.057</v>
      </c>
      <c r="AP25" s="47" t="n">
        <v>95</v>
      </c>
      <c r="AQ25" s="47" t="n">
        <v>3.82</v>
      </c>
      <c r="AR25" s="46" t="n">
        <v>3.02</v>
      </c>
      <c r="AS25" s="46" t="n">
        <v>3.09</v>
      </c>
      <c r="AT25" s="46" t="n">
        <v>3.64</v>
      </c>
      <c r="AU25" s="47" t="n">
        <v>2.1</v>
      </c>
    </row>
    <row r="26" ht="16" customHeight="1">
      <c r="B26">
        <f>IF(C26="ARI","D-BACKS",IF(C26="ATH","ATHLETICS",IF(C26="ATL","BRAVES",IF(C26="BAL","ORIOLES",IF(C26="BOS","RED SOX",IF(C26="CHC","CUBS",IF(C26="CHW","WHITE SOX",IF(C26="CIN","REDS",IF(C26="CLE","GUARDIANS",IF(C26="COL","ROCKIES",IF(C26="DET","TIGERS",IF(C26="HOU","ASTROS",IF(C26="KCR","ROYALS",IF(C26="LAA","ANGELS",IF(C26="LAD","DODGERS",IF(C26="MIA","MARLINS",IF(C26="MIL","BREWERS",IF(C26="MIN","TWINS",IF(C26="NYM","METS",IF(C26="NYY","YANKEES",IF(C26="OAK","ATHLETICS",IF(C26="PHI","PHILLIES",IF(C26="PIT","PIRATES",IF(C26="SDP","PADRES",IF(C26="SEA","MARINERS",IF(C26="SFG","GIANTS",IF(C26="STL","CARDINALS",IF(C26="TBR","RAYS",IF(C26="TEX","RANGERS",IF(C26="TOR","BLUE JAYS",IF(C26="WSN","NATIONALS","")))))))))))))))))))))))))))))))</f>
        <v/>
      </c>
      <c r="C26" t="inlineStr">
        <is>
          <t>PIT</t>
        </is>
      </c>
      <c r="D26" s="54">
        <f>(N26*0.75)+(L26*0.25)</f>
        <v/>
      </c>
      <c r="F26">
        <f>IF(G26="ARI","D-BACKS",IF(G26="ATH","ATHLETICS",IF(G26="ATL","BRAVES",IF(G26="BAL","ORIOLES",IF(G26="BOS","RED SOX",IF(G26="CHC","CUBS",IF(G26="CHW","WHITE SOX",IF(G26="CIN","REDS",IF(G26="CLE","GUARDIANS",IF(G26="COL","ROCKIES",IF(G26="DET","TIGERS",IF(G26="HOU","ASTROS",IF(G26="KCR","ROYALS",IF(G26="LAA","ANGELS",IF(G26="LAD","DODGERS",IF(G26="MIA","MARLINS",IF(G26="MIL","BREWERS",IF(G26="MIN","TWINS",IF(G26="NYM","METS",IF(G26="NYY","YANKEES",IF(G26="OAK","ATHLETICS",IF(G26="PHI","PHILLIES",IF(G26="PIT","PIRATES",IF(G26="SDP","PADRES",IF(G26="SEA","MARINERS",IF(G26="SFG","GIANTS",IF(G26="STL","CARDINALS",IF(G26="TBR","RAYS",IF(G26="TEX","RANGERS",IF(G26="TOR","BLUE JAYS",IF(G26="WSN","NATIONALS","")))))))))))))))))))))))))))))))</f>
        <v/>
      </c>
      <c r="G26" t="inlineStr">
        <is>
          <t>PIT</t>
        </is>
      </c>
      <c r="H26" s="55">
        <f>(O26*0.9)+(K26*0.1)</f>
        <v/>
      </c>
      <c r="J26" t="inlineStr">
        <is>
          <t>PIT</t>
        </is>
      </c>
      <c r="K26" t="n">
        <v>4.351</v>
      </c>
      <c r="L26" t="n">
        <v>105.1</v>
      </c>
      <c r="N26" s="59" t="n">
        <v>82.2</v>
      </c>
      <c r="O26" s="60" t="n">
        <v>4.232</v>
      </c>
      <c r="P26" s="58" t="n"/>
      <c r="Q26" t="inlineStr">
        <is>
          <t>Barnett</t>
        </is>
      </c>
      <c r="R26" t="n">
        <v>5.34</v>
      </c>
      <c r="U26" s="53" t="n"/>
      <c r="X26" s="17">
        <f>(V26*0.75)+(W26*0.25)</f>
        <v/>
      </c>
      <c r="Z26" s="44" t="n">
        <v>24</v>
      </c>
      <c r="AA26" s="45" t="inlineStr">
        <is>
          <t>SEA</t>
        </is>
      </c>
      <c r="AB26" s="46" t="n">
        <v>13</v>
      </c>
      <c r="AC26" s="46" t="n">
        <v>4</v>
      </c>
      <c r="AD26" s="46" t="n">
        <v>9</v>
      </c>
      <c r="AE26" s="46" t="n">
        <v>2</v>
      </c>
      <c r="AF26" s="46" t="n">
        <v>49</v>
      </c>
      <c r="AG26" s="46" t="n">
        <v>13</v>
      </c>
      <c r="AH26" s="46" t="n">
        <v>116.2</v>
      </c>
      <c r="AI26" s="47" t="n">
        <v>9.18</v>
      </c>
      <c r="AJ26" s="46" t="n">
        <v>2.01</v>
      </c>
      <c r="AK26" s="46" t="n">
        <v>0.62</v>
      </c>
      <c r="AL26" s="46" t="n">
        <v>0.266</v>
      </c>
      <c r="AM26" s="48" t="n">
        <v>0.709</v>
      </c>
      <c r="AN26" s="48" t="n">
        <v>0.418</v>
      </c>
      <c r="AO26" s="48" t="n">
        <v>0.067</v>
      </c>
      <c r="AP26" s="47" t="n">
        <v>95.59999999999999</v>
      </c>
      <c r="AQ26" s="47" t="n">
        <v>2.62</v>
      </c>
      <c r="AR26" s="46" t="n">
        <v>2.63</v>
      </c>
      <c r="AS26" s="46" t="n">
        <v>2.85</v>
      </c>
      <c r="AT26" s="46" t="n">
        <v>3.28</v>
      </c>
      <c r="AU26" s="47" t="n">
        <v>2.7</v>
      </c>
    </row>
    <row r="27" ht="16" customHeight="1">
      <c r="B27">
        <f>IF(C27="ARI","D-BACKS",IF(C27="ATH","ATHLETICS",IF(C27="ATL","BRAVES",IF(C27="BAL","ORIOLES",IF(C27="BOS","RED SOX",IF(C27="CHC","CUBS",IF(C27="CHW","WHITE SOX",IF(C27="CIN","REDS",IF(C27="CLE","GUARDIANS",IF(C27="COL","ROCKIES",IF(C27="DET","TIGERS",IF(C27="HOU","ASTROS",IF(C27="KCR","ROYALS",IF(C27="LAA","ANGELS",IF(C27="LAD","DODGERS",IF(C27="MIA","MARLINS",IF(C27="MIL","BREWERS",IF(C27="MIN","TWINS",IF(C27="NYM","METS",IF(C27="NYY","YANKEES",IF(C27="OAK","ATHLETICS",IF(C27="PHI","PHILLIES",IF(C27="PIT","PIRATES",IF(C27="SDP","PADRES",IF(C27="SEA","MARINERS",IF(C27="SFG","GIANTS",IF(C27="STL","CARDINALS",IF(C27="TBR","RAYS",IF(C27="TEX","RANGERS",IF(C27="TOR","BLUE JAYS",IF(C27="WSN","NATIONALS","")))))))))))))))))))))))))))))))</f>
        <v/>
      </c>
      <c r="C27" t="inlineStr">
        <is>
          <t>SDP</t>
        </is>
      </c>
      <c r="D27" s="54">
        <f>(N27*0.75)+(L27*0.25)</f>
        <v/>
      </c>
      <c r="F27">
        <f>IF(G27="ARI","D-BACKS",IF(G27="ATH","ATHLETICS",IF(G27="ATL","BRAVES",IF(G27="BAL","ORIOLES",IF(G27="BOS","RED SOX",IF(G27="CHC","CUBS",IF(G27="CHW","WHITE SOX",IF(G27="CIN","REDS",IF(G27="CLE","GUARDIANS",IF(G27="COL","ROCKIES",IF(G27="DET","TIGERS",IF(G27="HOU","ASTROS",IF(G27="KCR","ROYALS",IF(G27="LAA","ANGELS",IF(G27="LAD","DODGERS",IF(G27="MIA","MARLINS",IF(G27="MIL","BREWERS",IF(G27="MIN","TWINS",IF(G27="NYM","METS",IF(G27="NYY","YANKEES",IF(G27="OAK","ATHLETICS",IF(G27="PHI","PHILLIES",IF(G27="PIT","PIRATES",IF(G27="SDP","PADRES",IF(G27="SEA","MARINERS",IF(G27="SFG","GIANTS",IF(G27="STL","CARDINALS",IF(G27="TBR","RAYS",IF(G27="TEX","RANGERS",IF(G27="TOR","BLUE JAYS",IF(G27="WSN","NATIONALS","")))))))))))))))))))))))))))))))</f>
        <v/>
      </c>
      <c r="G27" t="inlineStr">
        <is>
          <t>SDP</t>
        </is>
      </c>
      <c r="H27" s="55">
        <f>(O27*0.9)+(K27*0.1)</f>
        <v/>
      </c>
      <c r="J27" t="inlineStr">
        <is>
          <t>SDP</t>
        </is>
      </c>
      <c r="K27" t="n">
        <v>3.437</v>
      </c>
      <c r="L27" t="n">
        <v>91.7</v>
      </c>
      <c r="N27" s="56" t="n">
        <v>102.3</v>
      </c>
      <c r="O27" s="57" t="n">
        <v>3.897</v>
      </c>
      <c r="P27" s="58" t="n"/>
      <c r="Q27" t="inlineStr">
        <is>
          <t>Bassitt</t>
        </is>
      </c>
      <c r="R27" t="n">
        <v>3.86</v>
      </c>
      <c r="U27" s="49" t="n"/>
      <c r="X27" s="17">
        <f>(V27*0.75)+(W27*0.25)</f>
        <v/>
      </c>
      <c r="Z27" s="44" t="n">
        <v>25</v>
      </c>
      <c r="AA27" s="45" t="inlineStr">
        <is>
          <t>SFG</t>
        </is>
      </c>
      <c r="AB27" s="46" t="n">
        <v>13</v>
      </c>
      <c r="AC27" s="46" t="n">
        <v>5</v>
      </c>
      <c r="AD27" s="46" t="n">
        <v>8</v>
      </c>
      <c r="AE27" s="46" t="n">
        <v>2</v>
      </c>
      <c r="AF27" s="46" t="n">
        <v>58</v>
      </c>
      <c r="AG27" s="46" t="n">
        <v>13</v>
      </c>
      <c r="AH27" s="46" t="n">
        <v>116</v>
      </c>
      <c r="AI27" s="47" t="n">
        <v>8.92</v>
      </c>
      <c r="AJ27" s="46" t="n">
        <v>3.72</v>
      </c>
      <c r="AK27" s="46" t="n">
        <v>0.78</v>
      </c>
      <c r="AL27" s="46" t="n">
        <v>0.304</v>
      </c>
      <c r="AM27" s="48" t="n">
        <v>0.699</v>
      </c>
      <c r="AN27" s="48" t="n">
        <v>0.479</v>
      </c>
      <c r="AO27" s="48" t="n">
        <v>0.101</v>
      </c>
      <c r="AP27" s="47" t="n">
        <v>94</v>
      </c>
      <c r="AQ27" s="47" t="n">
        <v>4.03</v>
      </c>
      <c r="AR27" s="46" t="n">
        <v>4.18</v>
      </c>
      <c r="AS27" s="46" t="n">
        <v>3.61</v>
      </c>
      <c r="AT27" s="46" t="n">
        <v>3.58</v>
      </c>
      <c r="AU27" s="47" t="n">
        <v>1.2</v>
      </c>
    </row>
    <row r="28" ht="16" customHeight="1">
      <c r="B28">
        <f>IF(C28="ARI","D-BACKS",IF(C28="ATH","ATHLETICS",IF(C28="ATL","BRAVES",IF(C28="BAL","ORIOLES",IF(C28="BOS","RED SOX",IF(C28="CHC","CUBS",IF(C28="CHW","WHITE SOX",IF(C28="CIN","REDS",IF(C28="CLE","GUARDIANS",IF(C28="COL","ROCKIES",IF(C28="DET","TIGERS",IF(C28="HOU","ASTROS",IF(C28="KCR","ROYALS",IF(C28="LAA","ANGELS",IF(C28="LAD","DODGERS",IF(C28="MIA","MARLINS",IF(C28="MIL","BREWERS",IF(C28="MIN","TWINS",IF(C28="NYM","METS",IF(C28="NYY","YANKEES",IF(C28="OAK","ATHLETICS",IF(C28="PHI","PHILLIES",IF(C28="PIT","PIRATES",IF(C28="SDP","PADRES",IF(C28="SEA","MARINERS",IF(C28="SFG","GIANTS",IF(C28="STL","CARDINALS",IF(C28="TBR","RAYS",IF(C28="TEX","RANGERS",IF(C28="TOR","BLUE JAYS",IF(C28="WSN","NATIONALS","")))))))))))))))))))))))))))))))</f>
        <v/>
      </c>
      <c r="C28" t="inlineStr">
        <is>
          <t>SEA</t>
        </is>
      </c>
      <c r="D28" s="54">
        <f>(N28*0.75)+(L28*0.25)</f>
        <v/>
      </c>
      <c r="F28">
        <f>IF(G28="ARI","D-BACKS",IF(G28="ATH","ATHLETICS",IF(G28="ATL","BRAVES",IF(G28="BAL","ORIOLES",IF(G28="BOS","RED SOX",IF(G28="CHC","CUBS",IF(G28="CHW","WHITE SOX",IF(G28="CIN","REDS",IF(G28="CLE","GUARDIANS",IF(G28="COL","ROCKIES",IF(G28="DET","TIGERS",IF(G28="HOU","ASTROS",IF(G28="KCR","ROYALS",IF(G28="LAA","ANGELS",IF(G28="LAD","DODGERS",IF(G28="MIA","MARLINS",IF(G28="MIL","BREWERS",IF(G28="MIN","TWINS",IF(G28="NYM","METS",IF(G28="NYY","YANKEES",IF(G28="OAK","ATHLETICS",IF(G28="PHI","PHILLIES",IF(G28="PIT","PIRATES",IF(G28="SDP","PADRES",IF(G28="SEA","MARINERS",IF(G28="SFG","GIANTS",IF(G28="STL","CARDINALS",IF(G28="TBR","RAYS",IF(G28="TEX","RANGERS",IF(G28="TOR","BLUE JAYS",IF(G28="WSN","NATIONALS","")))))))))))))))))))))))))))))))</f>
        <v/>
      </c>
      <c r="G28" t="inlineStr">
        <is>
          <t>SEA</t>
        </is>
      </c>
      <c r="H28" s="55">
        <f>(O28*0.9)+(K28*0.1)</f>
        <v/>
      </c>
      <c r="J28" t="inlineStr">
        <is>
          <t>SEA</t>
        </is>
      </c>
      <c r="K28" t="n">
        <v>3.902</v>
      </c>
      <c r="L28" t="n">
        <v>103.9</v>
      </c>
      <c r="N28" s="59" t="n">
        <v>112.6</v>
      </c>
      <c r="O28" s="60" t="n">
        <v>4.038</v>
      </c>
      <c r="P28" s="58" t="n"/>
      <c r="Q28" t="inlineStr">
        <is>
          <t>Basso</t>
        </is>
      </c>
      <c r="R28" t="n">
        <v>9.949999999999999</v>
      </c>
      <c r="U28" s="53" t="n"/>
      <c r="X28" s="17">
        <f>(V28*0.75)+(W28*0.25)</f>
        <v/>
      </c>
      <c r="Z28" s="44" t="n">
        <v>26</v>
      </c>
      <c r="AA28" s="45" t="inlineStr">
        <is>
          <t>STL</t>
        </is>
      </c>
      <c r="AB28" s="46" t="n">
        <v>12</v>
      </c>
      <c r="AC28" s="46" t="n">
        <v>7</v>
      </c>
      <c r="AD28" s="46" t="n">
        <v>5</v>
      </c>
      <c r="AE28" s="46" t="n">
        <v>4</v>
      </c>
      <c r="AF28" s="46" t="n">
        <v>59</v>
      </c>
      <c r="AG28" s="46" t="n">
        <v>12</v>
      </c>
      <c r="AH28" s="46" t="n">
        <v>109</v>
      </c>
      <c r="AI28" s="47" t="n">
        <v>6.11</v>
      </c>
      <c r="AJ28" s="46" t="n">
        <v>4.38</v>
      </c>
      <c r="AK28" s="46" t="n">
        <v>1.07</v>
      </c>
      <c r="AL28" s="46" t="n">
        <v>0.292</v>
      </c>
      <c r="AM28" s="48" t="n">
        <v>0.711</v>
      </c>
      <c r="AN28" s="48" t="n">
        <v>0.48</v>
      </c>
      <c r="AO28" s="48" t="n">
        <v>0.104</v>
      </c>
      <c r="AP28" s="47" t="n">
        <v>95</v>
      </c>
      <c r="AQ28" s="47" t="n">
        <v>4.95</v>
      </c>
      <c r="AR28" s="46" t="n">
        <v>5.66</v>
      </c>
      <c r="AS28" s="46" t="n">
        <v>4.94</v>
      </c>
      <c r="AT28" s="46" t="n">
        <v>4.86</v>
      </c>
      <c r="AU28" s="47" t="n">
        <v>-0.4</v>
      </c>
    </row>
    <row r="29">
      <c r="B29">
        <f>IF(C29="ARI","D-BACKS",IF(C29="ATH","ATHLETICS",IF(C29="ATL","BRAVES",IF(C29="BAL","ORIOLES",IF(C29="BOS","RED SOX",IF(C29="CHC","CUBS",IF(C29="CHW","WHITE SOX",IF(C29="CIN","REDS",IF(C29="CLE","GUARDIANS",IF(C29="COL","ROCKIES",IF(C29="DET","TIGERS",IF(C29="HOU","ASTROS",IF(C29="KCR","ROYALS",IF(C29="LAA","ANGELS",IF(C29="LAD","DODGERS",IF(C29="MIA","MARLINS",IF(C29="MIL","BREWERS",IF(C29="MIN","TWINS",IF(C29="NYM","METS",IF(C29="NYY","YANKEES",IF(C29="OAK","ATHLETICS",IF(C29="PHI","PHILLIES",IF(C29="PIT","PIRATES",IF(C29="SDP","PADRES",IF(C29="SEA","MARINERS",IF(C29="SFG","GIANTS",IF(C29="STL","CARDINALS",IF(C29="TBR","RAYS",IF(C29="TEX","RANGERS",IF(C29="TOR","BLUE JAYS",IF(C29="WSN","NATIONALS","")))))))))))))))))))))))))))))))</f>
        <v/>
      </c>
      <c r="C29" t="inlineStr">
        <is>
          <t>SFG</t>
        </is>
      </c>
      <c r="D29" s="54">
        <f>(N29*0.75)+(L29*0.25)</f>
        <v/>
      </c>
      <c r="F29">
        <f>IF(G29="ARI","D-BACKS",IF(G29="ATH","ATHLETICS",IF(G29="ATL","BRAVES",IF(G29="BAL","ORIOLES",IF(G29="BOS","RED SOX",IF(G29="CHC","CUBS",IF(G29="CHW","WHITE SOX",IF(G29="CIN","REDS",IF(G29="CLE","GUARDIANS",IF(G29="COL","ROCKIES",IF(G29="DET","TIGERS",IF(G29="HOU","ASTROS",IF(G29="KCR","ROYALS",IF(G29="LAA","ANGELS",IF(G29="LAD","DODGERS",IF(G29="MIA","MARLINS",IF(G29="MIL","BREWERS",IF(G29="MIN","TWINS",IF(G29="NYM","METS",IF(G29="NYY","YANKEES",IF(G29="OAK","ATHLETICS",IF(G29="PHI","PHILLIES",IF(G29="PIT","PIRATES",IF(G29="SDP","PADRES",IF(G29="SEA","MARINERS",IF(G29="SFG","GIANTS",IF(G29="STL","CARDINALS",IF(G29="TBR","RAYS",IF(G29="TEX","RANGERS",IF(G29="TOR","BLUE JAYS",IF(G29="WSN","NATIONALS","")))))))))))))))))))))))))))))))</f>
        <v/>
      </c>
      <c r="G29" t="inlineStr">
        <is>
          <t>SFG</t>
        </is>
      </c>
      <c r="H29" s="55">
        <f>(O29*0.9)+(K29*0.1)</f>
        <v/>
      </c>
      <c r="J29" t="inlineStr">
        <is>
          <t>SFG</t>
        </is>
      </c>
      <c r="K29" t="n">
        <v>4.516</v>
      </c>
      <c r="L29" t="n">
        <v>81.2</v>
      </c>
      <c r="N29" s="56" t="n">
        <v>97.09999999999999</v>
      </c>
      <c r="O29" s="57" t="n">
        <v>4.036</v>
      </c>
      <c r="P29" s="58" t="n"/>
      <c r="Q29" t="inlineStr">
        <is>
          <t>Baz</t>
        </is>
      </c>
      <c r="R29" t="n">
        <v>3.88</v>
      </c>
      <c r="U29" s="49" t="n"/>
      <c r="X29" s="17">
        <f>(V29*0.75)+(W29*0.25)</f>
        <v/>
      </c>
      <c r="Z29" t="n">
        <v>27</v>
      </c>
      <c r="AA29" t="inlineStr">
        <is>
          <t>TBR</t>
        </is>
      </c>
      <c r="AB29" t="n">
        <v>12</v>
      </c>
      <c r="AC29" t="n">
        <v>5</v>
      </c>
      <c r="AD29" t="n">
        <v>7</v>
      </c>
      <c r="AE29" t="n">
        <v>3</v>
      </c>
      <c r="AF29" t="n">
        <v>47</v>
      </c>
      <c r="AG29" t="n">
        <v>12</v>
      </c>
      <c r="AH29" t="n">
        <v>105.1</v>
      </c>
      <c r="AI29" t="n">
        <v>7.78</v>
      </c>
      <c r="AJ29" t="n">
        <v>3.25</v>
      </c>
      <c r="AK29" t="n">
        <v>1.28</v>
      </c>
      <c r="AL29" t="n">
        <v>0.256</v>
      </c>
      <c r="AM29" s="65" t="n">
        <v>0.571</v>
      </c>
      <c r="AN29" s="65" t="n">
        <v>0.39</v>
      </c>
      <c r="AO29" s="65" t="n">
        <v>0.111</v>
      </c>
      <c r="AP29" t="n">
        <v>94.90000000000001</v>
      </c>
      <c r="AQ29" t="n">
        <v>5.04</v>
      </c>
      <c r="AR29" t="n">
        <v>4.52</v>
      </c>
      <c r="AS29" t="n">
        <v>4.44</v>
      </c>
      <c r="AT29" t="n">
        <v>4.23</v>
      </c>
      <c r="AU29" t="n">
        <v>0.5</v>
      </c>
    </row>
    <row r="30">
      <c r="B30">
        <f>IF(C30="ARI","D-BACKS",IF(C30="ATH","ATHLETICS",IF(C30="ATL","BRAVES",IF(C30="BAL","ORIOLES",IF(C30="BOS","RED SOX",IF(C30="CHC","CUBS",IF(C30="CHW","WHITE SOX",IF(C30="CIN","REDS",IF(C30="CLE","GUARDIANS",IF(C30="COL","ROCKIES",IF(C30="DET","TIGERS",IF(C30="HOU","ASTROS",IF(C30="KCR","ROYALS",IF(C30="LAA","ANGELS",IF(C30="LAD","DODGERS",IF(C30="MIA","MARLINS",IF(C30="MIL","BREWERS",IF(C30="MIN","TWINS",IF(C30="NYM","METS",IF(C30="NYY","YANKEES",IF(C30="OAK","ATHLETICS",IF(C30="PHI","PHILLIES",IF(C30="PIT","PIRATES",IF(C30="SDP","PADRES",IF(C30="SEA","MARINERS",IF(C30="SFG","GIANTS",IF(C30="STL","CARDINALS",IF(C30="TBR","RAYS",IF(C30="TEX","RANGERS",IF(C30="TOR","BLUE JAYS",IF(C30="WSN","NATIONALS","")))))))))))))))))))))))))))))))</f>
        <v/>
      </c>
      <c r="C30" t="inlineStr">
        <is>
          <t>STL</t>
        </is>
      </c>
      <c r="D30" s="54">
        <f>(N30*0.75)+(L30*0.25)</f>
        <v/>
      </c>
      <c r="F30">
        <f>IF(G30="ARI","D-BACKS",IF(G30="ATH","ATHLETICS",IF(G30="ATL","BRAVES",IF(G30="BAL","ORIOLES",IF(G30="BOS","RED SOX",IF(G30="CHC","CUBS",IF(G30="CHW","WHITE SOX",IF(G30="CIN","REDS",IF(G30="CLE","GUARDIANS",IF(G30="COL","ROCKIES",IF(G30="DET","TIGERS",IF(G30="HOU","ASTROS",IF(G30="KCR","ROYALS",IF(G30="LAA","ANGELS",IF(G30="LAD","DODGERS",IF(G30="MIA","MARLINS",IF(G30="MIL","BREWERS",IF(G30="MIN","TWINS",IF(G30="NYM","METS",IF(G30="NYY","YANKEES",IF(G30="OAK","ATHLETICS",IF(G30="PHI","PHILLIES",IF(G30="PIT","PIRATES",IF(G30="SDP","PADRES",IF(G30="SEA","MARINERS",IF(G30="SFG","GIANTS",IF(G30="STL","CARDINALS",IF(G30="TBR","RAYS",IF(G30="TEX","RANGERS",IF(G30="TOR","BLUE JAYS",IF(G30="WSN","NATIONALS","")))))))))))))))))))))))))))))))</f>
        <v/>
      </c>
      <c r="G30" t="inlineStr">
        <is>
          <t>STL</t>
        </is>
      </c>
      <c r="H30" s="55">
        <f>(O30*0.9)+(K30*0.1)</f>
        <v/>
      </c>
      <c r="J30" t="inlineStr">
        <is>
          <t>STL</t>
        </is>
      </c>
      <c r="K30" t="n">
        <v>4.541</v>
      </c>
      <c r="L30" t="n">
        <v>103.7</v>
      </c>
      <c r="N30" s="59" t="n">
        <v>96.09999999999999</v>
      </c>
      <c r="O30" s="60" t="n">
        <v>3.961</v>
      </c>
      <c r="P30" s="58" t="n"/>
      <c r="Q30" t="inlineStr">
        <is>
          <t>Beck</t>
        </is>
      </c>
      <c r="R30" t="n">
        <v>4.52</v>
      </c>
      <c r="U30" s="53" t="n"/>
      <c r="X30" s="17">
        <f>(V30*0.75)+(W30*0.25)</f>
        <v/>
      </c>
      <c r="Z30" t="n">
        <v>28</v>
      </c>
      <c r="AA30" t="inlineStr">
        <is>
          <t>TEX</t>
        </is>
      </c>
      <c r="AB30" t="n">
        <v>12</v>
      </c>
      <c r="AC30" t="n">
        <v>7</v>
      </c>
      <c r="AD30" t="n">
        <v>5</v>
      </c>
      <c r="AE30" t="n">
        <v>5</v>
      </c>
      <c r="AF30" t="n">
        <v>57</v>
      </c>
      <c r="AG30" t="n">
        <v>12</v>
      </c>
      <c r="AH30" t="n">
        <v>107</v>
      </c>
      <c r="AI30" t="n">
        <v>10.01</v>
      </c>
      <c r="AJ30" t="n">
        <v>2.61</v>
      </c>
      <c r="AK30" t="n">
        <v>0.93</v>
      </c>
      <c r="AL30" t="n">
        <v>0.271</v>
      </c>
      <c r="AM30" s="65" t="n">
        <v>0.777</v>
      </c>
      <c r="AN30" s="65" t="n">
        <v>0.41</v>
      </c>
      <c r="AO30" s="65" t="n">
        <v>0.093</v>
      </c>
      <c r="AP30" t="n">
        <v>95.3</v>
      </c>
      <c r="AQ30" t="n">
        <v>2.94</v>
      </c>
      <c r="AR30" t="n">
        <v>3.28</v>
      </c>
      <c r="AS30" t="n">
        <v>3.3</v>
      </c>
      <c r="AT30" t="n">
        <v>3.37</v>
      </c>
      <c r="AU30" t="n">
        <v>1.9</v>
      </c>
    </row>
    <row r="31">
      <c r="B31">
        <f>IF(C31="ARI","D-BACKS",IF(C31="ATH","ATHLETICS",IF(C31="ATL","BRAVES",IF(C31="BAL","ORIOLES",IF(C31="BOS","RED SOX",IF(C31="CHC","CUBS",IF(C31="CHW","WHITE SOX",IF(C31="CIN","REDS",IF(C31="CLE","GUARDIANS",IF(C31="COL","ROCKIES",IF(C31="DET","TIGERS",IF(C31="HOU","ASTROS",IF(C31="KCR","ROYALS",IF(C31="LAA","ANGELS",IF(C31="LAD","DODGERS",IF(C31="MIA","MARLINS",IF(C31="MIL","BREWERS",IF(C31="MIN","TWINS",IF(C31="NYM","METS",IF(C31="NYY","YANKEES",IF(C31="OAK","ATHLETICS",IF(C31="PHI","PHILLIES",IF(C31="PIT","PIRATES",IF(C31="SDP","PADRES",IF(C31="SEA","MARINERS",IF(C31="SFG","GIANTS",IF(C31="STL","CARDINALS",IF(C31="TBR","RAYS",IF(C31="TEX","RANGERS",IF(C31="TOR","BLUE JAYS",IF(C31="WSN","NATIONALS","")))))))))))))))))))))))))))))))</f>
        <v/>
      </c>
      <c r="C31" t="inlineStr">
        <is>
          <t>TBR</t>
        </is>
      </c>
      <c r="D31" s="54">
        <f>(N31*0.75)+(L31*0.25)</f>
        <v/>
      </c>
      <c r="F31">
        <f>IF(G31="ARI","D-BACKS",IF(G31="ATH","ATHLETICS",IF(G31="ATL","BRAVES",IF(G31="BAL","ORIOLES",IF(G31="BOS","RED SOX",IF(G31="CHC","CUBS",IF(G31="CHW","WHITE SOX",IF(G31="CIN","REDS",IF(G31="CLE","GUARDIANS",IF(G31="COL","ROCKIES",IF(G31="DET","TIGERS",IF(G31="HOU","ASTROS",IF(G31="KCR","ROYALS",IF(G31="LAA","ANGELS",IF(G31="LAD","DODGERS",IF(G31="MIA","MARLINS",IF(G31="MIL","BREWERS",IF(G31="MIN","TWINS",IF(G31="NYM","METS",IF(G31="NYY","YANKEES",IF(G31="OAK","ATHLETICS",IF(G31="PHI","PHILLIES",IF(G31="PIT","PIRATES",IF(G31="SDP","PADRES",IF(G31="SEA","MARINERS",IF(G31="SFG","GIANTS",IF(G31="STL","CARDINALS",IF(G31="TBR","RAYS",IF(G31="TEX","RANGERS",IF(G31="TOR","BLUE JAYS",IF(G31="WSN","NATIONALS","")))))))))))))))))))))))))))))))</f>
        <v/>
      </c>
      <c r="G31" t="inlineStr">
        <is>
          <t>TBR</t>
        </is>
      </c>
      <c r="H31" s="55">
        <f>(O31*0.9)+(K31*0.1)</f>
        <v/>
      </c>
      <c r="J31" t="inlineStr">
        <is>
          <t>TBR</t>
        </is>
      </c>
      <c r="K31" t="n">
        <v>4.436</v>
      </c>
      <c r="L31" t="n">
        <v>96.09999999999999</v>
      </c>
      <c r="N31" s="56" t="n">
        <v>98.2</v>
      </c>
      <c r="O31" s="57" t="n">
        <v>3.747</v>
      </c>
      <c r="P31" s="58" t="n"/>
      <c r="Q31" t="inlineStr">
        <is>
          <t>Beeks</t>
        </is>
      </c>
      <c r="R31" t="n">
        <v>4.99</v>
      </c>
      <c r="U31" s="49" t="n"/>
      <c r="X31" s="17">
        <f>(V31*0.75)+(W31*0.25)</f>
        <v/>
      </c>
      <c r="Z31" t="n">
        <v>29</v>
      </c>
      <c r="AA31" t="inlineStr">
        <is>
          <t>TOR</t>
        </is>
      </c>
      <c r="AB31" t="n">
        <v>12</v>
      </c>
      <c r="AC31" t="n">
        <v>5</v>
      </c>
      <c r="AD31" t="n">
        <v>7</v>
      </c>
      <c r="AE31" t="n">
        <v>2</v>
      </c>
      <c r="AF31" t="n">
        <v>63</v>
      </c>
      <c r="AG31" t="n">
        <v>12</v>
      </c>
      <c r="AH31" t="n">
        <v>109.2</v>
      </c>
      <c r="AI31" t="n">
        <v>11.41</v>
      </c>
      <c r="AJ31" t="n">
        <v>3.61</v>
      </c>
      <c r="AK31" t="n">
        <v>1.15</v>
      </c>
      <c r="AL31" t="n">
        <v>0.326</v>
      </c>
      <c r="AM31" s="65" t="n">
        <v>0.667</v>
      </c>
      <c r="AN31" s="65" t="n">
        <v>0.415</v>
      </c>
      <c r="AO31" s="65" t="n">
        <v>0.139</v>
      </c>
      <c r="AP31" t="n">
        <v>91.8</v>
      </c>
      <c r="AQ31" t="n">
        <v>4.43</v>
      </c>
      <c r="AR31" t="n">
        <v>3.84</v>
      </c>
      <c r="AS31" t="n">
        <v>3.56</v>
      </c>
      <c r="AT31" t="n">
        <v>3.08</v>
      </c>
      <c r="AU31" t="n">
        <v>1.6</v>
      </c>
    </row>
    <row r="32">
      <c r="B32">
        <f>IF(C32="ARI","D-BACKS",IF(C32="ATH","ATHLETICS",IF(C32="ATL","BRAVES",IF(C32="BAL","ORIOLES",IF(C32="BOS","RED SOX",IF(C32="CHC","CUBS",IF(C32="CHW","WHITE SOX",IF(C32="CIN","REDS",IF(C32="CLE","GUARDIANS",IF(C32="COL","ROCKIES",IF(C32="DET","TIGERS",IF(C32="HOU","ASTROS",IF(C32="KCR","ROYALS",IF(C32="LAA","ANGELS",IF(C32="LAD","DODGERS",IF(C32="MIA","MARLINS",IF(C32="MIL","BREWERS",IF(C32="MIN","TWINS",IF(C32="NYM","METS",IF(C32="NYY","YANKEES",IF(C32="OAK","ATHLETICS",IF(C32="PHI","PHILLIES",IF(C32="PIT","PIRATES",IF(C32="SDP","PADRES",IF(C32="SEA","MARINERS",IF(C32="SFG","GIANTS",IF(C32="STL","CARDINALS",IF(C32="TBR","RAYS",IF(C32="TEX","RANGERS",IF(C32="TOR","BLUE JAYS",IF(C32="WSN","NATIONALS","")))))))))))))))))))))))))))))))</f>
        <v/>
      </c>
      <c r="C32" t="inlineStr">
        <is>
          <t>TEX</t>
        </is>
      </c>
      <c r="D32" s="54">
        <f>(N32*0.75)+(L32*0.25)</f>
        <v/>
      </c>
      <c r="F32">
        <f>IF(G32="ARI","D-BACKS",IF(G32="ATH","ATHLETICS",IF(G32="ATL","BRAVES",IF(G32="BAL","ORIOLES",IF(G32="BOS","RED SOX",IF(G32="CHC","CUBS",IF(G32="CHW","WHITE SOX",IF(G32="CIN","REDS",IF(G32="CLE","GUARDIANS",IF(G32="COL","ROCKIES",IF(G32="DET","TIGERS",IF(G32="HOU","ASTROS",IF(G32="KCR","ROYALS",IF(G32="LAA","ANGELS",IF(G32="LAD","DODGERS",IF(G32="MIA","MARLINS",IF(G32="MIL","BREWERS",IF(G32="MIN","TWINS",IF(G32="NYM","METS",IF(G32="NYY","YANKEES",IF(G32="OAK","ATHLETICS",IF(G32="PHI","PHILLIES",IF(G32="PIT","PIRATES",IF(G32="SDP","PADRES",IF(G32="SEA","MARINERS",IF(G32="SFG","GIANTS",IF(G32="STL","CARDINALS",IF(G32="TBR","RAYS",IF(G32="TEX","RANGERS",IF(G32="TOR","BLUE JAYS",IF(G32="WSN","NATIONALS","")))))))))))))))))))))))))))))))</f>
        <v/>
      </c>
      <c r="G32" t="inlineStr">
        <is>
          <t>TEX</t>
        </is>
      </c>
      <c r="H32" s="55">
        <f>(O32*0.9)+(K32*0.1)</f>
        <v/>
      </c>
      <c r="J32" t="inlineStr">
        <is>
          <t>TEX</t>
        </is>
      </c>
      <c r="K32" t="n">
        <v>4.556</v>
      </c>
      <c r="L32" t="n">
        <v>94.5</v>
      </c>
      <c r="N32" s="59" t="n">
        <v>91.90000000000001</v>
      </c>
      <c r="O32" s="60" t="n">
        <v>4.218</v>
      </c>
      <c r="P32" s="58" t="n"/>
      <c r="Q32" t="inlineStr">
        <is>
          <t>Bello</t>
        </is>
      </c>
      <c r="R32" t="n">
        <v>4.38</v>
      </c>
      <c r="U32" s="53" t="n"/>
      <c r="X32" s="17">
        <f>(V32*0.75)+(W32*0.25)</f>
        <v/>
      </c>
      <c r="Z32" t="n">
        <v>30</v>
      </c>
      <c r="AA32" t="inlineStr">
        <is>
          <t>WSN</t>
        </is>
      </c>
      <c r="AB32" t="n">
        <v>12</v>
      </c>
      <c r="AC32" t="n">
        <v>4</v>
      </c>
      <c r="AD32" t="n">
        <v>8</v>
      </c>
      <c r="AE32" t="n">
        <v>1</v>
      </c>
      <c r="AF32" t="n">
        <v>54</v>
      </c>
      <c r="AG32" t="n">
        <v>12</v>
      </c>
      <c r="AH32" t="n">
        <v>107</v>
      </c>
      <c r="AI32" t="n">
        <v>7.74</v>
      </c>
      <c r="AJ32" t="n">
        <v>5.05</v>
      </c>
      <c r="AK32" t="n">
        <v>2.02</v>
      </c>
      <c r="AL32" t="n">
        <v>0.295</v>
      </c>
      <c r="AM32" s="65" t="n">
        <v>0.705</v>
      </c>
      <c r="AN32" s="65" t="n">
        <v>0.419</v>
      </c>
      <c r="AO32" s="65" t="n">
        <v>0.183</v>
      </c>
      <c r="AP32" t="n">
        <v>94.3</v>
      </c>
      <c r="AQ32" t="n">
        <v>6.06</v>
      </c>
      <c r="AR32" t="n">
        <v>6.3</v>
      </c>
      <c r="AS32" t="n">
        <v>6.25</v>
      </c>
      <c r="AT32" t="n">
        <v>4.9</v>
      </c>
      <c r="AU32" t="n">
        <v>-1.8</v>
      </c>
    </row>
    <row r="33">
      <c r="B33">
        <f>IF(C33="ARI","D-BACKS",IF(C33="ATH","ATHLETICS",IF(C33="ATL","BRAVES",IF(C33="BAL","ORIOLES",IF(C33="BOS","RED SOX",IF(C33="CHC","CUBS",IF(C33="CHW","WHITE SOX",IF(C33="CIN","REDS",IF(C33="CLE","GUARDIANS",IF(C33="COL","ROCKIES",IF(C33="DET","TIGERS",IF(C33="HOU","ASTROS",IF(C33="KCR","ROYALS",IF(C33="LAA","ANGELS",IF(C33="LAD","DODGERS",IF(C33="MIA","MARLINS",IF(C33="MIL","BREWERS",IF(C33="MIN","TWINS",IF(C33="NYM","METS",IF(C33="NYY","YANKEES",IF(C33="OAK","ATHLETICS",IF(C33="PHI","PHILLIES",IF(C33="PIT","PIRATES",IF(C33="SDP","PADRES",IF(C33="SEA","MARINERS",IF(C33="SFG","GIANTS",IF(C33="STL","CARDINALS",IF(C33="TBR","RAYS",IF(C33="TEX","RANGERS",IF(C33="TOR","BLUE JAYS",IF(C33="WSN","NATIONALS","")))))))))))))))))))))))))))))))</f>
        <v/>
      </c>
      <c r="C33" t="inlineStr">
        <is>
          <t>TOR</t>
        </is>
      </c>
      <c r="D33" s="54">
        <f>(N33*0.75)+(L33*0.25)</f>
        <v/>
      </c>
      <c r="F33">
        <f>IF(G33="ARI","D-BACKS",IF(G33="ATH","ATHLETICS",IF(G33="ATL","BRAVES",IF(G33="BAL","ORIOLES",IF(G33="BOS","RED SOX",IF(G33="CHC","CUBS",IF(G33="CHW","WHITE SOX",IF(G33="CIN","REDS",IF(G33="CLE","GUARDIANS",IF(G33="COL","ROCKIES",IF(G33="DET","TIGERS",IF(G33="HOU","ASTROS",IF(G33="KCR","ROYALS",IF(G33="LAA","ANGELS",IF(G33="LAD","DODGERS",IF(G33="MIA","MARLINS",IF(G33="MIL","BREWERS",IF(G33="MIN","TWINS",IF(G33="NYM","METS",IF(G33="NYY","YANKEES",IF(G33="OAK","ATHLETICS",IF(G33="PHI","PHILLIES",IF(G33="PIT","PIRATES",IF(G33="SDP","PADRES",IF(G33="SEA","MARINERS",IF(G33="SFG","GIANTS",IF(G33="STL","CARDINALS",IF(G33="TBR","RAYS",IF(G33="TEX","RANGERS",IF(G33="TOR","BLUE JAYS",IF(G33="WSN","NATIONALS","")))))))))))))))))))))))))))))))</f>
        <v/>
      </c>
      <c r="G33" t="inlineStr">
        <is>
          <t>TOR</t>
        </is>
      </c>
      <c r="H33" s="55">
        <f>(O33*0.9)+(K33*0.1)</f>
        <v/>
      </c>
      <c r="J33" t="inlineStr">
        <is>
          <t>TOR</t>
        </is>
      </c>
      <c r="K33" t="n">
        <v>3.153</v>
      </c>
      <c r="L33" t="n">
        <v>96</v>
      </c>
      <c r="N33" s="56" t="n">
        <v>112.5</v>
      </c>
      <c r="O33" s="57" t="n">
        <v>4.047</v>
      </c>
      <c r="P33" s="58" t="n"/>
      <c r="Q33" t="inlineStr">
        <is>
          <t>Bellozo</t>
        </is>
      </c>
      <c r="R33" t="n">
        <v>5.72</v>
      </c>
      <c r="U33" s="61" t="n"/>
      <c r="W33" s="66" t="n"/>
      <c r="X33" s="17">
        <f>(V33*0.75)+(W33*0.25)</f>
        <v/>
      </c>
    </row>
    <row r="34">
      <c r="B34">
        <f>IF(C34="ARI","D-BACKS",IF(C34="ATH","ATHLETICS",IF(C34="ATL","BRAVES",IF(C34="BAL","ORIOLES",IF(C34="BOS","RED SOX",IF(C34="CHC","CUBS",IF(C34="CHW","WHITE SOX",IF(C34="CIN","REDS",IF(C34="CLE","GUARDIANS",IF(C34="COL","ROCKIES",IF(C34="DET","TIGERS",IF(C34="HOU","ASTROS",IF(C34="KCR","ROYALS",IF(C34="LAA","ANGELS",IF(C34="LAD","DODGERS",IF(C34="MIA","MARLINS",IF(C34="MIL","BREWERS",IF(C34="MIN","TWINS",IF(C34="NYM","METS",IF(C34="NYY","YANKEES",IF(C34="OAK","ATHLETICS",IF(C34="PHI","PHILLIES",IF(C34="PIT","PIRATES",IF(C34="SDP","PADRES",IF(C34="SEA","MARINERS",IF(C34="SFG","GIANTS",IF(C34="STL","CARDINALS",IF(C34="TBR","RAYS",IF(C34="TEX","RANGERS",IF(C34="TOR","BLUE JAYS",IF(C34="WSN","NATIONALS","")))))))))))))))))))))))))))))))</f>
        <v/>
      </c>
      <c r="C34" t="inlineStr">
        <is>
          <t>WSN</t>
        </is>
      </c>
      <c r="D34" s="54">
        <f>(N34*0.75)+(L34*0.25)</f>
        <v/>
      </c>
      <c r="F34">
        <f>IF(G34="ARI","D-BACKS",IF(G34="ATH","ATHLETICS",IF(G34="ATL","BRAVES",IF(G34="BAL","ORIOLES",IF(G34="BOS","RED SOX",IF(G34="CHC","CUBS",IF(G34="CHW","WHITE SOX",IF(G34="CIN","REDS",IF(G34="CLE","GUARDIANS",IF(G34="COL","ROCKIES",IF(G34="DET","TIGERS",IF(G34="HOU","ASTROS",IF(G34="KCR","ROYALS",IF(G34="LAA","ANGELS",IF(G34="LAD","DODGERS",IF(G34="MIA","MARLINS",IF(G34="MIL","BREWERS",IF(G34="MIN","TWINS",IF(G34="NYM","METS",IF(G34="NYY","YANKEES",IF(G34="OAK","ATHLETICS",IF(G34="PHI","PHILLIES",IF(G34="PIT","PIRATES",IF(G34="SDP","PADRES",IF(G34="SEA","MARINERS",IF(G34="SFG","GIANTS",IF(G34="STL","CARDINALS",IF(G34="TBR","RAYS",IF(G34="TEX","RANGERS",IF(G34="TOR","BLUE JAYS",IF(G34="WSN","NATIONALS","")))))))))))))))))))))))))))))))</f>
        <v/>
      </c>
      <c r="G34" t="inlineStr">
        <is>
          <t>WSN</t>
        </is>
      </c>
      <c r="H34" s="55">
        <f>(O34*0.9)+(K34*0.1)</f>
        <v/>
      </c>
      <c r="J34" t="inlineStr">
        <is>
          <t>WSN</t>
        </is>
      </c>
      <c r="K34" t="n">
        <v>4.958</v>
      </c>
      <c r="L34" t="n">
        <v>103.7</v>
      </c>
      <c r="N34" s="59" t="n">
        <v>92.8</v>
      </c>
      <c r="O34" s="60" t="n">
        <v>4.625</v>
      </c>
      <c r="P34" s="58" t="n"/>
      <c r="Q34" t="inlineStr">
        <is>
          <t>Bergert</t>
        </is>
      </c>
      <c r="R34" t="n">
        <v>4.63</v>
      </c>
    </row>
    <row r="35">
      <c r="Q35" t="inlineStr">
        <is>
          <t>Bernardino</t>
        </is>
      </c>
      <c r="R35" t="n">
        <v>3</v>
      </c>
    </row>
    <row r="36">
      <c r="Q36" t="inlineStr">
        <is>
          <t>Berríos</t>
        </is>
      </c>
      <c r="R36" t="n">
        <v>4.43</v>
      </c>
    </row>
    <row r="37">
      <c r="Q37" t="inlineStr">
        <is>
          <t>Bibee</t>
        </is>
      </c>
      <c r="R37" t="n">
        <v>4.17</v>
      </c>
    </row>
    <row r="38">
      <c r="Q38" t="inlineStr">
        <is>
          <t>Bido</t>
        </is>
      </c>
      <c r="R38" t="n">
        <v>5.72</v>
      </c>
    </row>
    <row r="39">
      <c r="Q39" t="inlineStr">
        <is>
          <t>Bieber</t>
        </is>
      </c>
      <c r="R39" t="n">
        <v>3.35</v>
      </c>
    </row>
    <row r="40">
      <c r="Q40" t="inlineStr">
        <is>
          <t>Birdsong</t>
        </is>
      </c>
      <c r="R40" t="n">
        <v>5.31</v>
      </c>
    </row>
    <row r="41">
      <c r="Q41" t="inlineStr">
        <is>
          <t>Blackburn</t>
        </is>
      </c>
      <c r="R41" t="n">
        <v>5.08</v>
      </c>
    </row>
    <row r="42">
      <c r="Q42" t="inlineStr">
        <is>
          <t>Blalock</t>
        </is>
      </c>
      <c r="R42" t="n">
        <v>5.77</v>
      </c>
    </row>
    <row r="43">
      <c r="Q43" t="inlineStr">
        <is>
          <t>Blanco</t>
        </is>
      </c>
      <c r="R43" t="n">
        <v>4.4</v>
      </c>
    </row>
    <row r="44">
      <c r="Q44" t="inlineStr">
        <is>
          <t>Blewett</t>
        </is>
      </c>
      <c r="R44" t="n">
        <v>5.12</v>
      </c>
    </row>
    <row r="45">
      <c r="Q45" t="inlineStr">
        <is>
          <t>Blubaugh</t>
        </is>
      </c>
      <c r="R45" t="n">
        <v>3.87</v>
      </c>
    </row>
    <row r="46">
      <c r="Q46" t="inlineStr">
        <is>
          <t>Boushley</t>
        </is>
      </c>
      <c r="R46" t="n">
        <v>7.01</v>
      </c>
    </row>
    <row r="47" ht="16" customHeight="1">
      <c r="F47" s="67" t="n"/>
      <c r="G47" s="68" t="n"/>
      <c r="H47" s="69" t="n"/>
      <c r="I47" s="69" t="n"/>
      <c r="Q47" t="inlineStr">
        <is>
          <t>Bowlan</t>
        </is>
      </c>
      <c r="R47" t="n">
        <v>3.18</v>
      </c>
    </row>
    <row r="48" ht="16" customHeight="1">
      <c r="F48" s="70" t="n"/>
      <c r="G48" s="71" t="n"/>
      <c r="H48" s="72" t="n"/>
      <c r="I48" s="72" t="n"/>
      <c r="Q48" t="inlineStr">
        <is>
          <t>Boyd</t>
        </is>
      </c>
      <c r="R48" t="n">
        <v>4.22</v>
      </c>
    </row>
    <row r="49" ht="16" customHeight="1">
      <c r="F49" s="70" t="n"/>
      <c r="G49" s="71" t="n"/>
      <c r="H49" s="72" t="n"/>
      <c r="I49" s="72" t="n"/>
      <c r="Q49" t="inlineStr">
        <is>
          <t>Boyle</t>
        </is>
      </c>
      <c r="R49" t="n">
        <v>4.38</v>
      </c>
    </row>
    <row r="50" ht="16" customHeight="1">
      <c r="F50" s="70" t="n"/>
      <c r="G50" s="71" t="n"/>
      <c r="H50" s="72" t="n"/>
      <c r="I50" s="72" t="n"/>
      <c r="Q50" t="inlineStr">
        <is>
          <t>Bradish</t>
        </is>
      </c>
      <c r="R50" t="n">
        <v>2.67</v>
      </c>
    </row>
    <row r="51" ht="16" customHeight="1">
      <c r="F51" s="70" t="n"/>
      <c r="G51" s="71" t="n"/>
      <c r="H51" s="72" t="n"/>
      <c r="I51" s="72" t="n"/>
      <c r="Q51" t="inlineStr">
        <is>
          <t>Bradley</t>
        </is>
      </c>
      <c r="R51" t="n">
        <v>4.37</v>
      </c>
    </row>
    <row r="52" ht="16" customHeight="1">
      <c r="F52" s="70" t="n"/>
      <c r="G52" s="71" t="n"/>
      <c r="H52" s="72" t="n"/>
      <c r="I52" s="72" t="n"/>
      <c r="Q52" t="inlineStr">
        <is>
          <t>Brasier</t>
        </is>
      </c>
      <c r="R52" t="n">
        <v>1.14</v>
      </c>
    </row>
    <row r="53" ht="16" customHeight="1">
      <c r="F53" s="70" t="n"/>
      <c r="G53" s="71" t="n"/>
      <c r="H53" s="72" t="n"/>
      <c r="I53" s="72" t="n"/>
      <c r="Q53" t="inlineStr">
        <is>
          <t>Brazobán</t>
        </is>
      </c>
      <c r="R53" t="n">
        <v>4.81</v>
      </c>
    </row>
    <row r="54" ht="16" customHeight="1">
      <c r="F54" s="70" t="n"/>
      <c r="G54" s="71" t="n"/>
      <c r="H54" s="72" t="n"/>
      <c r="I54" s="72" t="n"/>
      <c r="Q54" t="inlineStr">
        <is>
          <t>Brieske</t>
        </is>
      </c>
      <c r="R54" t="n">
        <v>3.54</v>
      </c>
    </row>
    <row r="55" ht="16" customHeight="1">
      <c r="F55" s="70" t="n"/>
      <c r="G55" s="71" t="n"/>
      <c r="H55" s="72" t="n"/>
      <c r="I55" s="72" t="n"/>
      <c r="Q55" t="inlineStr">
        <is>
          <t>Brown</t>
        </is>
      </c>
      <c r="R55" t="n">
        <v>3.84</v>
      </c>
    </row>
    <row r="56" ht="16" customHeight="1">
      <c r="F56" s="70" t="n"/>
      <c r="G56" s="71" t="n"/>
      <c r="H56" s="72" t="n"/>
      <c r="I56" s="72" t="n"/>
      <c r="Q56" t="inlineStr">
        <is>
          <t>Brown</t>
        </is>
      </c>
      <c r="R56" t="n">
        <v>3.19</v>
      </c>
    </row>
    <row r="57" ht="16" customHeight="1">
      <c r="F57" s="70" t="n"/>
      <c r="G57" s="71" t="n"/>
      <c r="H57" s="72" t="n"/>
      <c r="I57" s="72" t="n"/>
      <c r="Q57" t="inlineStr">
        <is>
          <t>Brown</t>
        </is>
      </c>
      <c r="R57" t="n">
        <v>6.14</v>
      </c>
    </row>
    <row r="58" ht="16" customHeight="1">
      <c r="F58" s="70" t="n"/>
      <c r="G58" s="71" t="n"/>
      <c r="H58" s="72" t="n"/>
      <c r="I58" s="72" t="n"/>
      <c r="Q58" t="inlineStr">
        <is>
          <t>Brubaker</t>
        </is>
      </c>
      <c r="R58" t="n">
        <v>3.04</v>
      </c>
    </row>
    <row r="59" ht="16" customHeight="1">
      <c r="F59" s="70" t="n"/>
      <c r="G59" s="71" t="n"/>
      <c r="H59" s="72" t="n"/>
      <c r="I59" s="72" t="n"/>
      <c r="Q59" t="inlineStr">
        <is>
          <t>Bubic</t>
        </is>
      </c>
      <c r="R59" t="n">
        <v>3.63</v>
      </c>
    </row>
    <row r="60" ht="16" customHeight="1">
      <c r="F60" s="70" t="n"/>
      <c r="G60" s="71" t="n"/>
      <c r="H60" s="72" t="n"/>
      <c r="I60" s="72" t="n"/>
      <c r="Q60" t="inlineStr">
        <is>
          <t>Buehler</t>
        </is>
      </c>
      <c r="R60" t="n">
        <v>5.09</v>
      </c>
    </row>
    <row r="61" ht="16" customHeight="1">
      <c r="F61" s="70" t="n"/>
      <c r="G61" s="71" t="n"/>
      <c r="H61" s="72" t="n"/>
      <c r="I61" s="72" t="n"/>
      <c r="Q61" t="inlineStr">
        <is>
          <t>Bummer</t>
        </is>
      </c>
      <c r="R61" t="n">
        <v>3.53</v>
      </c>
    </row>
    <row r="62" ht="16" customHeight="1">
      <c r="F62" s="70" t="n"/>
      <c r="G62" s="71" t="n"/>
      <c r="H62" s="72" t="n"/>
      <c r="I62" s="72" t="n"/>
      <c r="Q62" t="inlineStr">
        <is>
          <t>Burke</t>
        </is>
      </c>
      <c r="R62" t="n">
        <v>4.22</v>
      </c>
    </row>
    <row r="63" ht="16" customHeight="1">
      <c r="F63" s="70" t="n"/>
      <c r="G63" s="71" t="n"/>
      <c r="H63" s="72" t="n"/>
      <c r="I63" s="72" t="n"/>
      <c r="Q63" t="inlineStr">
        <is>
          <t>Burke</t>
        </is>
      </c>
      <c r="R63" t="n">
        <v>5.03</v>
      </c>
    </row>
    <row r="64" ht="16" customHeight="1">
      <c r="F64" s="70" t="n"/>
      <c r="G64" s="71" t="n"/>
      <c r="H64" s="72" t="n"/>
      <c r="I64" s="72" t="n"/>
      <c r="Q64" t="inlineStr">
        <is>
          <t>Burnes</t>
        </is>
      </c>
      <c r="R64" t="n">
        <v>3.73</v>
      </c>
    </row>
    <row r="65" ht="16" customHeight="1">
      <c r="F65" s="70" t="n"/>
      <c r="G65" s="71" t="n"/>
      <c r="H65" s="72" t="n"/>
      <c r="I65" s="72" t="n"/>
      <c r="Q65" t="inlineStr">
        <is>
          <t>Burns</t>
        </is>
      </c>
      <c r="R65" t="n">
        <v>2.34</v>
      </c>
    </row>
    <row r="66" ht="16" customHeight="1">
      <c r="F66" s="70" t="n"/>
      <c r="G66" s="71" t="n"/>
      <c r="H66" s="72" t="n"/>
      <c r="I66" s="72" t="n"/>
      <c r="Q66" t="inlineStr">
        <is>
          <t>Burrows</t>
        </is>
      </c>
      <c r="R66" t="n">
        <v>3.74</v>
      </c>
    </row>
    <row r="67" ht="16" customHeight="1">
      <c r="F67" s="70" t="n"/>
      <c r="G67" s="71" t="n"/>
      <c r="H67" s="72" t="n"/>
      <c r="I67" s="72" t="n"/>
      <c r="Q67" t="inlineStr">
        <is>
          <t>Cabrera</t>
        </is>
      </c>
      <c r="R67" t="n">
        <v>3.62</v>
      </c>
    </row>
    <row r="68" ht="16" customHeight="1">
      <c r="F68" s="70" t="n"/>
      <c r="G68" s="71" t="n"/>
      <c r="H68" s="72" t="n"/>
      <c r="I68" s="72" t="n"/>
      <c r="Q68" t="inlineStr">
        <is>
          <t>Cameron</t>
        </is>
      </c>
      <c r="R68" t="n">
        <v>4.1</v>
      </c>
    </row>
    <row r="69" ht="16" customHeight="1">
      <c r="F69" s="70" t="n"/>
      <c r="G69" s="71" t="n"/>
      <c r="H69" s="72" t="n"/>
      <c r="I69" s="72" t="n"/>
      <c r="Q69" t="inlineStr">
        <is>
          <t>Canning</t>
        </is>
      </c>
      <c r="R69" t="n">
        <v>4.09</v>
      </c>
    </row>
    <row r="70" ht="16" customHeight="1">
      <c r="F70" s="70" t="n"/>
      <c r="G70" s="71" t="n"/>
      <c r="H70" s="72" t="n"/>
      <c r="I70" s="72" t="n"/>
      <c r="Q70" t="inlineStr">
        <is>
          <t>Cannon</t>
        </is>
      </c>
      <c r="R70" t="n">
        <v>5.09</v>
      </c>
    </row>
    <row r="71" ht="16" customHeight="1">
      <c r="F71" s="70" t="n"/>
      <c r="G71" s="71" t="n"/>
      <c r="H71" s="72" t="n"/>
      <c r="I71" s="72" t="n"/>
      <c r="Q71" t="inlineStr">
        <is>
          <t>Cantillo</t>
        </is>
      </c>
      <c r="R71" t="n">
        <v>3.78</v>
      </c>
    </row>
    <row r="72" ht="16" customHeight="1">
      <c r="F72" s="70" t="n"/>
      <c r="G72" s="71" t="n"/>
      <c r="H72" s="72" t="n"/>
      <c r="I72" s="72" t="n"/>
      <c r="Q72" t="inlineStr">
        <is>
          <t>Carrasco</t>
        </is>
      </c>
      <c r="R72" t="n">
        <v>5.09</v>
      </c>
    </row>
    <row r="73" ht="16" customHeight="1">
      <c r="F73" s="70" t="n"/>
      <c r="G73" s="71" t="n"/>
      <c r="H73" s="72" t="n"/>
      <c r="I73" s="72" t="n"/>
      <c r="Q73" t="inlineStr">
        <is>
          <t>Casparius</t>
        </is>
      </c>
      <c r="R73" t="n">
        <v>5.24</v>
      </c>
    </row>
    <row r="74" ht="16" customHeight="1">
      <c r="F74" s="70" t="n"/>
      <c r="G74" s="71" t="n"/>
      <c r="H74" s="72" t="n"/>
      <c r="I74" s="72" t="n"/>
      <c r="Q74" t="inlineStr">
        <is>
          <t>Castillo</t>
        </is>
      </c>
      <c r="R74" t="n">
        <v>4.09</v>
      </c>
    </row>
    <row r="75" ht="16" customHeight="1">
      <c r="F75" s="70" t="n"/>
      <c r="G75" s="71" t="n"/>
      <c r="H75" s="72" t="n"/>
      <c r="I75" s="72" t="n"/>
      <c r="Q75" t="inlineStr">
        <is>
          <t>Castillo</t>
        </is>
      </c>
      <c r="R75" t="n">
        <v>6.69</v>
      </c>
    </row>
    <row r="76" ht="16" customHeight="1">
      <c r="F76" s="70" t="n"/>
      <c r="G76" s="71" t="n"/>
      <c r="H76" s="72" t="n"/>
      <c r="I76" s="72" t="n"/>
      <c r="Q76" t="inlineStr">
        <is>
          <t>Cavalli</t>
        </is>
      </c>
      <c r="R76" t="n">
        <v>3.93</v>
      </c>
    </row>
    <row r="77" ht="16" customHeight="1">
      <c r="F77" s="70" t="n"/>
      <c r="G77" s="71" t="n"/>
      <c r="H77" s="72" t="n"/>
      <c r="I77" s="72" t="n"/>
      <c r="Q77" t="inlineStr">
        <is>
          <t>Cease</t>
        </is>
      </c>
      <c r="R77" t="n">
        <v>3.56</v>
      </c>
    </row>
    <row r="78">
      <c r="Q78" t="inlineStr">
        <is>
          <t>Cecconi</t>
        </is>
      </c>
      <c r="R78" t="n">
        <v>4.09</v>
      </c>
    </row>
    <row r="79">
      <c r="Q79" t="inlineStr">
        <is>
          <t>Chandler</t>
        </is>
      </c>
      <c r="R79" t="n">
        <v>2.92</v>
      </c>
    </row>
    <row r="80">
      <c r="Q80" t="inlineStr">
        <is>
          <t>Civale</t>
        </is>
      </c>
      <c r="R80" t="n">
        <v>4.94</v>
      </c>
    </row>
    <row r="81">
      <c r="Q81" t="inlineStr">
        <is>
          <t>Corbin</t>
        </is>
      </c>
      <c r="R81" t="n">
        <v>4.21</v>
      </c>
    </row>
    <row r="82">
      <c r="Q82" t="inlineStr">
        <is>
          <t>Cortes</t>
        </is>
      </c>
      <c r="R82" t="n">
        <v>5.75</v>
      </c>
    </row>
    <row r="83">
      <c r="Q83" t="inlineStr">
        <is>
          <t>Coulombe</t>
        </is>
      </c>
      <c r="R83" t="n">
        <v>-0.86</v>
      </c>
    </row>
    <row r="84">
      <c r="Q84" t="inlineStr">
        <is>
          <t>Cox</t>
        </is>
      </c>
      <c r="R84" t="n">
        <v>-2.86</v>
      </c>
    </row>
    <row r="85">
      <c r="Q85" t="inlineStr">
        <is>
          <t>Crismatt</t>
        </is>
      </c>
      <c r="R85" t="n">
        <v>4.18</v>
      </c>
    </row>
    <row r="86">
      <c r="Q86" t="inlineStr">
        <is>
          <t>Criswell</t>
        </is>
      </c>
      <c r="R86" t="n">
        <v>4.39</v>
      </c>
    </row>
    <row r="87">
      <c r="Q87" t="inlineStr">
        <is>
          <t>Crochet</t>
        </is>
      </c>
      <c r="R87" t="n">
        <v>2.64</v>
      </c>
    </row>
    <row r="88">
      <c r="Q88" t="inlineStr">
        <is>
          <t>Dana</t>
        </is>
      </c>
      <c r="R88" t="n">
        <v>4.14</v>
      </c>
    </row>
    <row r="89">
      <c r="Q89" t="inlineStr">
        <is>
          <t>Daniel</t>
        </is>
      </c>
      <c r="R89" t="n">
        <v>5.92</v>
      </c>
    </row>
    <row r="90">
      <c r="Q90" t="inlineStr">
        <is>
          <t>Darvish</t>
        </is>
      </c>
      <c r="R90" t="n">
        <v>4.15</v>
      </c>
    </row>
    <row r="91">
      <c r="Q91" t="inlineStr">
        <is>
          <t>De</t>
        </is>
      </c>
      <c r="R91" t="n">
        <v>3.94</v>
      </c>
    </row>
    <row r="92">
      <c r="Q92" t="inlineStr">
        <is>
          <t>deGrom</t>
        </is>
      </c>
      <c r="R92" t="n">
        <v>3.37</v>
      </c>
    </row>
    <row r="93">
      <c r="Q93" t="inlineStr">
        <is>
          <t>DeSclafani</t>
        </is>
      </c>
      <c r="R93" t="n">
        <v>5.13</v>
      </c>
    </row>
    <row r="94">
      <c r="Q94" t="inlineStr">
        <is>
          <t>Devenski</t>
        </is>
      </c>
      <c r="R94" t="n">
        <v>3.45</v>
      </c>
    </row>
    <row r="95">
      <c r="Q95" t="inlineStr">
        <is>
          <t>Dobbins</t>
        </is>
      </c>
      <c r="R95" t="n">
        <v>3.96</v>
      </c>
    </row>
    <row r="96">
      <c r="Q96" t="inlineStr">
        <is>
          <t>Dollander</t>
        </is>
      </c>
      <c r="R96" t="n">
        <v>4.97</v>
      </c>
    </row>
    <row r="97">
      <c r="Q97" t="inlineStr">
        <is>
          <t>Dreyer</t>
        </is>
      </c>
      <c r="R97" t="n">
        <v>3.54</v>
      </c>
    </row>
    <row r="98">
      <c r="Q98" t="inlineStr">
        <is>
          <t>Early</t>
        </is>
      </c>
      <c r="R98" t="n">
        <v>2.35</v>
      </c>
    </row>
    <row r="99">
      <c r="Q99" t="inlineStr">
        <is>
          <t>Eflin</t>
        </is>
      </c>
      <c r="R99" t="n">
        <v>4.37</v>
      </c>
    </row>
    <row r="100">
      <c r="Q100" t="inlineStr">
        <is>
          <t>Eisert</t>
        </is>
      </c>
      <c r="R100" t="n">
        <v>4.52</v>
      </c>
    </row>
    <row r="101">
      <c r="Q101" t="inlineStr">
        <is>
          <t>Elder</t>
        </is>
      </c>
      <c r="R101" t="n">
        <v>4.04</v>
      </c>
    </row>
    <row r="102">
      <c r="Q102" t="inlineStr">
        <is>
          <t>Ellard</t>
        </is>
      </c>
      <c r="R102" t="n">
        <v>6.98</v>
      </c>
    </row>
    <row r="103">
      <c r="Q103" t="inlineStr">
        <is>
          <t>Enns</t>
        </is>
      </c>
      <c r="R103" t="n">
        <v>4.04</v>
      </c>
    </row>
    <row r="104">
      <c r="Q104" t="inlineStr">
        <is>
          <t>Eovaldi</t>
        </is>
      </c>
      <c r="R104" t="n">
        <v>3.03</v>
      </c>
    </row>
    <row r="105">
      <c r="Q105" t="inlineStr">
        <is>
          <t>Estes</t>
        </is>
      </c>
      <c r="R105" t="n">
        <v>8.67</v>
      </c>
    </row>
    <row r="106">
      <c r="Q106" t="inlineStr">
        <is>
          <t>Evans</t>
        </is>
      </c>
      <c r="R106" t="n">
        <v>4.85</v>
      </c>
    </row>
    <row r="107">
      <c r="Q107" t="inlineStr">
        <is>
          <t>Falter</t>
        </is>
      </c>
      <c r="R107" t="n">
        <v>5.04</v>
      </c>
    </row>
    <row r="108">
      <c r="Q108" t="inlineStr">
        <is>
          <t>Farris</t>
        </is>
      </c>
      <c r="R108" t="n">
        <v>4.8</v>
      </c>
    </row>
    <row r="109">
      <c r="Q109" t="inlineStr">
        <is>
          <t>Fedde</t>
        </is>
      </c>
      <c r="R109" t="n">
        <v>5.39</v>
      </c>
    </row>
    <row r="110">
      <c r="Q110" t="inlineStr">
        <is>
          <t>Feltner</t>
        </is>
      </c>
      <c r="R110" t="n">
        <v>4.5</v>
      </c>
    </row>
    <row r="111">
      <c r="Q111" t="inlineStr">
        <is>
          <t>Festa</t>
        </is>
      </c>
      <c r="R111" t="n">
        <v>4.37</v>
      </c>
    </row>
    <row r="112">
      <c r="Q112" t="inlineStr">
        <is>
          <t>Fisher</t>
        </is>
      </c>
      <c r="R112" t="n">
        <v>7.35</v>
      </c>
    </row>
    <row r="113">
      <c r="Q113" t="inlineStr">
        <is>
          <t>Fitts</t>
        </is>
      </c>
      <c r="R113" t="n">
        <v>4.27</v>
      </c>
    </row>
    <row r="114">
      <c r="Q114" t="inlineStr">
        <is>
          <t>Flaherty</t>
        </is>
      </c>
      <c r="R114" t="n">
        <v>3.69</v>
      </c>
    </row>
    <row r="115">
      <c r="Q115" t="inlineStr">
        <is>
          <t>Flexen</t>
        </is>
      </c>
      <c r="R115" t="n">
        <v>7.08</v>
      </c>
    </row>
    <row r="116">
      <c r="Q116" t="inlineStr">
        <is>
          <t>Francis</t>
        </is>
      </c>
      <c r="R116" t="n">
        <v>5.21</v>
      </c>
    </row>
    <row r="117">
      <c r="Q117" t="inlineStr">
        <is>
          <t>Freeland</t>
        </is>
      </c>
      <c r="R117" t="n">
        <v>4.29</v>
      </c>
    </row>
    <row r="118">
      <c r="Q118" t="inlineStr">
        <is>
          <t>Fried</t>
        </is>
      </c>
      <c r="R118" t="n">
        <v>3.41</v>
      </c>
    </row>
    <row r="119">
      <c r="Q119" t="inlineStr">
        <is>
          <t>Fuentes</t>
        </is>
      </c>
      <c r="R119" t="n">
        <v>5.74</v>
      </c>
    </row>
    <row r="120">
      <c r="Q120" t="inlineStr">
        <is>
          <t>Gage</t>
        </is>
      </c>
      <c r="R120" t="n">
        <v>2.68</v>
      </c>
    </row>
    <row r="121">
      <c r="Q121" t="inlineStr">
        <is>
          <t>Gallen</t>
        </is>
      </c>
      <c r="R121" t="n">
        <v>4.12</v>
      </c>
    </row>
    <row r="122">
      <c r="Q122" t="inlineStr">
        <is>
          <t>Garcia</t>
        </is>
      </c>
      <c r="R122" t="n">
        <v>4.3</v>
      </c>
    </row>
    <row r="123">
      <c r="Q123" t="inlineStr">
        <is>
          <t>Garcia</t>
        </is>
      </c>
      <c r="R123" t="n">
        <v>2.68</v>
      </c>
    </row>
    <row r="124">
      <c r="Q124" t="inlineStr">
        <is>
          <t>Garrett</t>
        </is>
      </c>
      <c r="R124" t="n">
        <v>-0.86</v>
      </c>
    </row>
    <row r="125">
      <c r="Q125" t="inlineStr">
        <is>
          <t>Gasser</t>
        </is>
      </c>
      <c r="R125" t="n">
        <v>7</v>
      </c>
    </row>
    <row r="126">
      <c r="Q126" t="inlineStr">
        <is>
          <t>Gausman</t>
        </is>
      </c>
      <c r="R126" t="n">
        <v>3.77</v>
      </c>
    </row>
    <row r="127">
      <c r="Q127" t="inlineStr">
        <is>
          <t>Gibson</t>
        </is>
      </c>
      <c r="R127" t="n">
        <v>7.68</v>
      </c>
    </row>
    <row r="128">
      <c r="Q128" t="inlineStr">
        <is>
          <t>Gibson</t>
        </is>
      </c>
      <c r="R128" t="n">
        <v>5.72</v>
      </c>
    </row>
    <row r="129">
      <c r="Q129" t="inlineStr">
        <is>
          <t>Gil</t>
        </is>
      </c>
      <c r="R129" t="n">
        <v>5.65</v>
      </c>
    </row>
    <row r="130">
      <c r="Q130" t="inlineStr">
        <is>
          <t>Gilbert</t>
        </is>
      </c>
      <c r="R130" t="n">
        <v>2.95</v>
      </c>
    </row>
    <row r="131">
      <c r="Q131" t="inlineStr">
        <is>
          <t>Gilbert</t>
        </is>
      </c>
      <c r="R131" t="n">
        <v>2.79</v>
      </c>
    </row>
    <row r="132">
      <c r="Q132" t="inlineStr">
        <is>
          <t>Gillispie</t>
        </is>
      </c>
      <c r="R132" t="n">
        <v>5.06</v>
      </c>
    </row>
    <row r="133">
      <c r="Q133" t="inlineStr">
        <is>
          <t>Ginn</t>
        </is>
      </c>
      <c r="R133" t="n">
        <v>3.68</v>
      </c>
    </row>
    <row r="134">
      <c r="Q134" t="inlineStr">
        <is>
          <t>Giolito</t>
        </is>
      </c>
      <c r="R134" t="n">
        <v>4.59</v>
      </c>
    </row>
    <row r="135">
      <c r="Q135" t="inlineStr">
        <is>
          <t>Gipson-Long</t>
        </is>
      </c>
      <c r="R135" t="n">
        <v>4.49</v>
      </c>
    </row>
    <row r="136">
      <c r="Q136" t="inlineStr">
        <is>
          <t>Glasnow</t>
        </is>
      </c>
      <c r="R136" t="n">
        <v>3.72</v>
      </c>
    </row>
    <row r="137">
      <c r="Q137" t="inlineStr">
        <is>
          <t>Gomber</t>
        </is>
      </c>
      <c r="R137" t="n">
        <v>5.67</v>
      </c>
    </row>
    <row r="138">
      <c r="Q138" t="inlineStr">
        <is>
          <t>Gómez</t>
        </is>
      </c>
      <c r="R138" t="n">
        <v>4.22</v>
      </c>
    </row>
    <row r="139">
      <c r="Q139" t="inlineStr">
        <is>
          <t>Gonsolin</t>
        </is>
      </c>
      <c r="R139" t="n">
        <v>4.57</v>
      </c>
    </row>
    <row r="140">
      <c r="Q140" t="inlineStr">
        <is>
          <t>Gordon</t>
        </is>
      </c>
      <c r="R140" t="n">
        <v>4.24</v>
      </c>
    </row>
    <row r="141">
      <c r="Q141" t="inlineStr">
        <is>
          <t>Gordon</t>
        </is>
      </c>
      <c r="R141" t="n">
        <v>4.33</v>
      </c>
    </row>
    <row r="142">
      <c r="Q142" t="inlineStr">
        <is>
          <t>Gore</t>
        </is>
      </c>
      <c r="R142" t="n">
        <v>3.78</v>
      </c>
    </row>
    <row r="143">
      <c r="Q143" t="inlineStr">
        <is>
          <t>Gray</t>
        </is>
      </c>
      <c r="R143" t="n">
        <v>3.07</v>
      </c>
    </row>
    <row r="144">
      <c r="Q144" t="inlineStr">
        <is>
          <t>Greene</t>
        </is>
      </c>
      <c r="R144" t="n">
        <v>3.27</v>
      </c>
    </row>
    <row r="145">
      <c r="Q145" t="inlineStr">
        <is>
          <t>Guenther</t>
        </is>
      </c>
      <c r="R145" t="n">
        <v>3.14</v>
      </c>
    </row>
    <row r="146">
      <c r="Q146" t="inlineStr">
        <is>
          <t>Gusto</t>
        </is>
      </c>
      <c r="R146" t="n">
        <v>4.46</v>
      </c>
    </row>
    <row r="147">
      <c r="Q147" t="inlineStr">
        <is>
          <t>Hagenman</t>
        </is>
      </c>
      <c r="R147" t="n">
        <v>3.67</v>
      </c>
    </row>
    <row r="148">
      <c r="Q148" t="inlineStr">
        <is>
          <t>Hall</t>
        </is>
      </c>
      <c r="R148" t="n">
        <v>4.34</v>
      </c>
    </row>
    <row r="149">
      <c r="Q149" t="inlineStr">
        <is>
          <t>Hamilton</t>
        </is>
      </c>
      <c r="R149" t="n">
        <v>9.220000000000001</v>
      </c>
    </row>
    <row r="150">
      <c r="Q150" t="inlineStr">
        <is>
          <t>Hancock</t>
        </is>
      </c>
      <c r="R150" t="n">
        <v>4.69</v>
      </c>
    </row>
    <row r="151">
      <c r="Q151" t="inlineStr">
        <is>
          <t>Harrington</t>
        </is>
      </c>
      <c r="R151" t="n">
        <v>7.45</v>
      </c>
    </row>
    <row r="152">
      <c r="Q152" t="inlineStr">
        <is>
          <t>Harrison</t>
        </is>
      </c>
      <c r="R152" t="n">
        <v>3.8</v>
      </c>
    </row>
    <row r="153">
      <c r="Q153" t="inlineStr">
        <is>
          <t>Hart</t>
        </is>
      </c>
      <c r="R153" t="n">
        <v>5.52</v>
      </c>
    </row>
    <row r="154">
      <c r="Q154" t="inlineStr">
        <is>
          <t>Hatch</t>
        </is>
      </c>
      <c r="R154" t="n">
        <v>5.49</v>
      </c>
    </row>
    <row r="155">
      <c r="Q155" t="inlineStr">
        <is>
          <t>Heaney</t>
        </is>
      </c>
      <c r="R155" t="n">
        <v>4.89</v>
      </c>
    </row>
    <row r="156">
      <c r="Q156" t="inlineStr">
        <is>
          <t>Henderson</t>
        </is>
      </c>
      <c r="R156" t="n">
        <v>3.36</v>
      </c>
    </row>
    <row r="157">
      <c r="Q157" t="inlineStr">
        <is>
          <t>Hendricks</t>
        </is>
      </c>
      <c r="R157" t="n">
        <v>4.73</v>
      </c>
    </row>
    <row r="158">
      <c r="Q158" t="inlineStr">
        <is>
          <t>Hicks</t>
        </is>
      </c>
      <c r="R158" t="n">
        <v>3.77</v>
      </c>
    </row>
    <row r="159">
      <c r="Q159" t="inlineStr">
        <is>
          <t>Hill</t>
        </is>
      </c>
      <c r="R159" t="n">
        <v>6.8</v>
      </c>
    </row>
    <row r="160">
      <c r="Q160" t="inlineStr">
        <is>
          <t>Hjelle</t>
        </is>
      </c>
      <c r="R160" t="n">
        <v>3.73</v>
      </c>
    </row>
    <row r="161">
      <c r="Q161" t="inlineStr">
        <is>
          <t>Hoglund</t>
        </is>
      </c>
      <c r="R161" t="n">
        <v>4.78</v>
      </c>
    </row>
    <row r="162">
      <c r="Q162" t="inlineStr">
        <is>
          <t>Holman</t>
        </is>
      </c>
      <c r="R162" t="n">
        <v>7.72</v>
      </c>
    </row>
    <row r="163">
      <c r="Q163" t="inlineStr">
        <is>
          <t>Holmes</t>
        </is>
      </c>
      <c r="R163" t="n">
        <v>4.28</v>
      </c>
    </row>
    <row r="164">
      <c r="Q164" t="inlineStr">
        <is>
          <t>Holmes</t>
        </is>
      </c>
      <c r="R164" t="n">
        <v>4.08</v>
      </c>
    </row>
    <row r="165">
      <c r="Q165" t="inlineStr">
        <is>
          <t>Holton</t>
        </is>
      </c>
      <c r="R165" t="n">
        <v>2.35</v>
      </c>
    </row>
    <row r="166">
      <c r="Q166" t="inlineStr">
        <is>
          <t>Horton</t>
        </is>
      </c>
      <c r="R166" t="n">
        <v>4.31</v>
      </c>
    </row>
    <row r="167">
      <c r="Q167" t="inlineStr">
        <is>
          <t>Houck</t>
        </is>
      </c>
      <c r="R167" t="n">
        <v>4.73</v>
      </c>
    </row>
    <row r="168">
      <c r="Q168" t="inlineStr">
        <is>
          <t>Houser</t>
        </is>
      </c>
      <c r="R168" t="n">
        <v>4.3</v>
      </c>
    </row>
    <row r="169">
      <c r="Q169" t="inlineStr">
        <is>
          <t>Hurter</t>
        </is>
      </c>
      <c r="R169" t="n">
        <v>5.18</v>
      </c>
    </row>
    <row r="170">
      <c r="Q170" t="inlineStr">
        <is>
          <t>Imanaga</t>
        </is>
      </c>
      <c r="R170" t="n">
        <v>4.51</v>
      </c>
    </row>
    <row r="171">
      <c r="Q171" t="inlineStr">
        <is>
          <t>Irvin</t>
        </is>
      </c>
      <c r="R171" t="n">
        <v>4.82</v>
      </c>
    </row>
    <row r="172">
      <c r="Q172" t="inlineStr">
        <is>
          <t>Javier</t>
        </is>
      </c>
      <c r="R172" t="n">
        <v>4.97</v>
      </c>
    </row>
    <row r="173">
      <c r="Q173" t="inlineStr">
        <is>
          <t>Jax</t>
        </is>
      </c>
      <c r="R173" t="n">
        <v>2.64</v>
      </c>
    </row>
    <row r="174">
      <c r="Q174" t="inlineStr">
        <is>
          <t>Jobe</t>
        </is>
      </c>
      <c r="R174" t="n">
        <v>5.14</v>
      </c>
    </row>
    <row r="175">
      <c r="Q175" t="inlineStr">
        <is>
          <t>Junk</t>
        </is>
      </c>
      <c r="R175" t="n">
        <v>4.34</v>
      </c>
    </row>
    <row r="176">
      <c r="Q176" t="inlineStr">
        <is>
          <t>Keller</t>
        </is>
      </c>
      <c r="R176" t="n">
        <v>0.68</v>
      </c>
    </row>
    <row r="177">
      <c r="Q177" t="inlineStr">
        <is>
          <t>Keller</t>
        </is>
      </c>
      <c r="R177" t="n">
        <v>4.17</v>
      </c>
    </row>
    <row r="178">
      <c r="Q178" t="inlineStr">
        <is>
          <t>Kelly</t>
        </is>
      </c>
      <c r="R178" t="n">
        <v>3.81</v>
      </c>
    </row>
    <row r="179">
      <c r="Q179" t="inlineStr">
        <is>
          <t>Kershaw</t>
        </is>
      </c>
      <c r="R179" t="n">
        <v>4.17</v>
      </c>
    </row>
    <row r="180">
      <c r="Q180" t="inlineStr">
        <is>
          <t>Kikuchi</t>
        </is>
      </c>
      <c r="R180" t="n">
        <v>4.28</v>
      </c>
    </row>
    <row r="181">
      <c r="Q181" t="inlineStr">
        <is>
          <t>King</t>
        </is>
      </c>
      <c r="R181" t="n">
        <v>4.2</v>
      </c>
    </row>
    <row r="182">
      <c r="Q182" t="inlineStr">
        <is>
          <t>Kirby</t>
        </is>
      </c>
      <c r="R182" t="n">
        <v>3.25</v>
      </c>
    </row>
    <row r="183">
      <c r="Q183" t="inlineStr">
        <is>
          <t>Knack</t>
        </is>
      </c>
      <c r="R183" t="n">
        <v>5.1</v>
      </c>
    </row>
    <row r="184">
      <c r="Q184" t="inlineStr">
        <is>
          <t>Kochanowicz</t>
        </is>
      </c>
      <c r="R184" t="n">
        <v>5.18</v>
      </c>
    </row>
    <row r="185">
      <c r="Q185" t="inlineStr">
        <is>
          <t>Kolek</t>
        </is>
      </c>
      <c r="R185" t="n">
        <v>4.16</v>
      </c>
    </row>
    <row r="186">
      <c r="Q186" t="inlineStr">
        <is>
          <t>Kremer</t>
        </is>
      </c>
      <c r="R186" t="n">
        <v>4.27</v>
      </c>
    </row>
    <row r="187">
      <c r="Q187" t="inlineStr">
        <is>
          <t>Latz</t>
        </is>
      </c>
      <c r="R187" t="n">
        <v>4.11</v>
      </c>
    </row>
    <row r="188">
      <c r="Q188" t="inlineStr">
        <is>
          <t>Lauer</t>
        </is>
      </c>
      <c r="R188" t="n">
        <v>4.22</v>
      </c>
    </row>
    <row r="189">
      <c r="Q189" t="inlineStr">
        <is>
          <t>Leahy</t>
        </is>
      </c>
      <c r="R189" t="n">
        <v>3.5</v>
      </c>
    </row>
    <row r="190">
      <c r="Q190" t="inlineStr">
        <is>
          <t>Leasure</t>
        </is>
      </c>
      <c r="R190" t="n">
        <v>4.22</v>
      </c>
    </row>
    <row r="191">
      <c r="Q191" t="inlineStr">
        <is>
          <t>Legumina</t>
        </is>
      </c>
      <c r="R191" t="n">
        <v>7.22</v>
      </c>
    </row>
    <row r="192">
      <c r="Q192" t="inlineStr">
        <is>
          <t>Leiter</t>
        </is>
      </c>
      <c r="R192" t="n">
        <v>4.53</v>
      </c>
    </row>
    <row r="193">
      <c r="Q193" t="inlineStr">
        <is>
          <t>Liberatore</t>
        </is>
      </c>
      <c r="R193" t="n">
        <v>4.31</v>
      </c>
    </row>
    <row r="194">
      <c r="Q194" t="inlineStr">
        <is>
          <t>Littell</t>
        </is>
      </c>
      <c r="R194" t="n">
        <v>4.35</v>
      </c>
    </row>
    <row r="195">
      <c r="Q195" t="inlineStr">
        <is>
          <t>Lively</t>
        </is>
      </c>
      <c r="R195" t="n">
        <v>5.26</v>
      </c>
    </row>
    <row r="196">
      <c r="Q196" t="inlineStr">
        <is>
          <t>Lodolo</t>
        </is>
      </c>
      <c r="R196" t="n">
        <v>3.62</v>
      </c>
    </row>
    <row r="197">
      <c r="Q197" t="inlineStr">
        <is>
          <t>Lopez</t>
        </is>
      </c>
      <c r="R197" t="n">
        <v>4.12</v>
      </c>
    </row>
    <row r="198">
      <c r="Q198" t="inlineStr">
        <is>
          <t>López</t>
        </is>
      </c>
      <c r="R198" t="n">
        <v>3.87</v>
      </c>
    </row>
    <row r="199">
      <c r="Q199" t="inlineStr">
        <is>
          <t>López</t>
        </is>
      </c>
      <c r="R199" t="n">
        <v>5.79</v>
      </c>
    </row>
    <row r="200">
      <c r="Q200" t="inlineStr">
        <is>
          <t>Lord</t>
        </is>
      </c>
      <c r="R200" t="n">
        <v>4.1</v>
      </c>
    </row>
    <row r="201">
      <c r="Q201" t="inlineStr">
        <is>
          <t>Lorenzen</t>
        </is>
      </c>
      <c r="R201" t="n">
        <v>4.25</v>
      </c>
    </row>
    <row r="202">
      <c r="Q202" t="inlineStr">
        <is>
          <t>Lucas</t>
        </is>
      </c>
      <c r="R202" t="n">
        <v>4.97</v>
      </c>
    </row>
    <row r="203">
      <c r="Q203" t="inlineStr">
        <is>
          <t>Lugo</t>
        </is>
      </c>
      <c r="R203" t="n">
        <v>4.53</v>
      </c>
    </row>
    <row r="204">
      <c r="Q204" t="inlineStr">
        <is>
          <t>Luzardo</t>
        </is>
      </c>
      <c r="R204" t="n">
        <v>3.25</v>
      </c>
    </row>
    <row r="205">
      <c r="Q205" t="inlineStr">
        <is>
          <t>Lynch</t>
        </is>
      </c>
      <c r="R205" t="n">
        <v>4.2</v>
      </c>
    </row>
    <row r="206">
      <c r="Q206" t="inlineStr">
        <is>
          <t>Mahle</t>
        </is>
      </c>
      <c r="R206" t="n">
        <v>4.43</v>
      </c>
    </row>
    <row r="207">
      <c r="Q207" t="inlineStr">
        <is>
          <t>Manaea</t>
        </is>
      </c>
      <c r="R207" t="n">
        <v>3.5</v>
      </c>
    </row>
    <row r="208">
      <c r="Q208" t="inlineStr">
        <is>
          <t>Márquez</t>
        </is>
      </c>
      <c r="R208" t="n">
        <v>5.35</v>
      </c>
    </row>
    <row r="209">
      <c r="Q209" t="inlineStr">
        <is>
          <t>Martin</t>
        </is>
      </c>
      <c r="R209" t="n">
        <v>4.63</v>
      </c>
    </row>
    <row r="210">
      <c r="Q210" t="inlineStr">
        <is>
          <t>Martinez</t>
        </is>
      </c>
      <c r="R210" t="n">
        <v>4.46</v>
      </c>
    </row>
    <row r="211">
      <c r="Q211" t="inlineStr">
        <is>
          <t>Matthews</t>
        </is>
      </c>
      <c r="R211" t="n">
        <v>3.81</v>
      </c>
    </row>
    <row r="212">
      <c r="Q212" t="inlineStr">
        <is>
          <t>Matz</t>
        </is>
      </c>
      <c r="R212" t="n">
        <v>1.89</v>
      </c>
    </row>
    <row r="213">
      <c r="Q213" t="inlineStr">
        <is>
          <t>May</t>
        </is>
      </c>
      <c r="R213" t="n">
        <v>4.49</v>
      </c>
    </row>
    <row r="214">
      <c r="Q214" t="inlineStr">
        <is>
          <t>Mazur</t>
        </is>
      </c>
      <c r="R214" t="n">
        <v>5.22</v>
      </c>
    </row>
    <row r="215">
      <c r="Q215" t="inlineStr">
        <is>
          <t>McCullers</t>
        </is>
      </c>
      <c r="R215" t="n">
        <v>4.92</v>
      </c>
    </row>
    <row r="216">
      <c r="Q216" t="inlineStr">
        <is>
          <t>McDermott</t>
        </is>
      </c>
      <c r="R216" t="n">
        <v>5.34</v>
      </c>
    </row>
    <row r="217">
      <c r="Q217" t="inlineStr">
        <is>
          <t>McDonald</t>
        </is>
      </c>
      <c r="R217" t="n">
        <v>2.31</v>
      </c>
    </row>
    <row r="218">
      <c r="Q218" t="inlineStr">
        <is>
          <t>McGreevy</t>
        </is>
      </c>
      <c r="R218" t="n">
        <v>4.35</v>
      </c>
    </row>
    <row r="219">
      <c r="Q219" t="inlineStr">
        <is>
          <t>McLean</t>
        </is>
      </c>
      <c r="R219" t="n">
        <v>2.78</v>
      </c>
    </row>
    <row r="220">
      <c r="Q220" t="inlineStr">
        <is>
          <t>Mederos</t>
        </is>
      </c>
      <c r="R220" t="n">
        <v>6.63</v>
      </c>
    </row>
    <row r="221">
      <c r="Q221" t="inlineStr">
        <is>
          <t>Megill</t>
        </is>
      </c>
      <c r="R221" t="n">
        <v>3.73</v>
      </c>
    </row>
    <row r="222">
      <c r="Q222" t="inlineStr">
        <is>
          <t>Melton</t>
        </is>
      </c>
      <c r="R222" t="n">
        <v>3.89</v>
      </c>
    </row>
    <row r="223">
      <c r="Q223" t="inlineStr">
        <is>
          <t>Messick</t>
        </is>
      </c>
      <c r="R223" t="n">
        <v>3.15</v>
      </c>
    </row>
    <row r="224">
      <c r="Q224" t="inlineStr">
        <is>
          <t>Meyer</t>
        </is>
      </c>
      <c r="R224" t="n">
        <v>3.51</v>
      </c>
    </row>
    <row r="225">
      <c r="Q225" t="inlineStr">
        <is>
          <t>Mikolas</t>
        </is>
      </c>
      <c r="R225" t="n">
        <v>4.83</v>
      </c>
    </row>
    <row r="226">
      <c r="Q226" t="inlineStr">
        <is>
          <t>Miley</t>
        </is>
      </c>
      <c r="R226" t="n">
        <v>5.69</v>
      </c>
    </row>
    <row r="227">
      <c r="Q227" t="inlineStr">
        <is>
          <t>Miller</t>
        </is>
      </c>
      <c r="R227" t="n">
        <v>1.01</v>
      </c>
    </row>
    <row r="228">
      <c r="Q228" t="inlineStr">
        <is>
          <t>Miller</t>
        </is>
      </c>
      <c r="R228" t="n">
        <v>4.6</v>
      </c>
    </row>
    <row r="229">
      <c r="Q229" t="inlineStr">
        <is>
          <t>Misiorowski</t>
        </is>
      </c>
      <c r="R229" t="n">
        <v>3.56</v>
      </c>
    </row>
    <row r="230">
      <c r="Q230" t="inlineStr">
        <is>
          <t>Mize</t>
        </is>
      </c>
      <c r="R230" t="n">
        <v>3.97</v>
      </c>
    </row>
    <row r="231">
      <c r="Q231" t="inlineStr">
        <is>
          <t>Mlodzinski</t>
        </is>
      </c>
      <c r="R231" t="n">
        <v>4.26</v>
      </c>
    </row>
    <row r="232">
      <c r="Q232" t="inlineStr">
        <is>
          <t>Molina</t>
        </is>
      </c>
      <c r="R232" t="n">
        <v>6.02</v>
      </c>
    </row>
    <row r="233">
      <c r="Q233" t="inlineStr">
        <is>
          <t>Montas</t>
        </is>
      </c>
      <c r="R233" t="n">
        <v>4.41</v>
      </c>
    </row>
    <row r="234">
      <c r="Q234" t="inlineStr">
        <is>
          <t>Montero</t>
        </is>
      </c>
      <c r="R234" t="n">
        <v>4.47</v>
      </c>
    </row>
    <row r="235">
      <c r="Q235" t="inlineStr">
        <is>
          <t>Morales</t>
        </is>
      </c>
      <c r="R235" t="n">
        <v>4.37</v>
      </c>
    </row>
    <row r="236">
      <c r="Q236" t="inlineStr">
        <is>
          <t>Morgan</t>
        </is>
      </c>
      <c r="R236" t="n">
        <v>4.09</v>
      </c>
    </row>
    <row r="237">
      <c r="Q237" t="inlineStr">
        <is>
          <t>Morton</t>
        </is>
      </c>
      <c r="R237" t="n">
        <v>4.45</v>
      </c>
    </row>
    <row r="238">
      <c r="Q238" t="inlineStr">
        <is>
          <t>Murray</t>
        </is>
      </c>
      <c r="R238" t="n">
        <v>3.5</v>
      </c>
    </row>
    <row r="239">
      <c r="Q239" t="inlineStr">
        <is>
          <t>Myers</t>
        </is>
      </c>
      <c r="R239" t="n">
        <v>5.34</v>
      </c>
    </row>
    <row r="240">
      <c r="Q240" t="inlineStr">
        <is>
          <t>Nelson</t>
        </is>
      </c>
      <c r="R240" t="n">
        <v>4.22</v>
      </c>
    </row>
    <row r="241">
      <c r="Q241" t="inlineStr">
        <is>
          <t>Newcomb</t>
        </is>
      </c>
      <c r="R241" t="n">
        <v>3.71</v>
      </c>
    </row>
    <row r="242">
      <c r="Q242" t="inlineStr">
        <is>
          <t>Nikhazy</t>
        </is>
      </c>
      <c r="R242" t="n">
        <v>10.22</v>
      </c>
    </row>
    <row r="243">
      <c r="Q243" t="inlineStr">
        <is>
          <t>Nola</t>
        </is>
      </c>
      <c r="R243" t="n">
        <v>3.71</v>
      </c>
    </row>
    <row r="244">
      <c r="Q244" t="inlineStr">
        <is>
          <t>Ober</t>
        </is>
      </c>
      <c r="R244" t="n">
        <v>4.75</v>
      </c>
    </row>
    <row r="245">
      <c r="Q245" t="inlineStr">
        <is>
          <t>Ogasawara</t>
        </is>
      </c>
      <c r="R245" t="n">
        <v>4.67</v>
      </c>
    </row>
    <row r="246">
      <c r="Q246" t="inlineStr">
        <is>
          <t>Ohl</t>
        </is>
      </c>
      <c r="R246" t="n">
        <v>4.77</v>
      </c>
    </row>
    <row r="247">
      <c r="Q247" t="inlineStr">
        <is>
          <t>Ohtani</t>
        </is>
      </c>
      <c r="R247" t="n">
        <v>2.45</v>
      </c>
    </row>
    <row r="248">
      <c r="Q248" t="inlineStr">
        <is>
          <t>Okert</t>
        </is>
      </c>
      <c r="R248" t="n">
        <v>1.66</v>
      </c>
    </row>
    <row r="249">
      <c r="Q249" t="inlineStr">
        <is>
          <t>Olson</t>
        </is>
      </c>
      <c r="R249" t="n">
        <v>4.03</v>
      </c>
    </row>
    <row r="250">
      <c r="Q250" t="inlineStr">
        <is>
          <t>Ortiz</t>
        </is>
      </c>
      <c r="R250" t="n">
        <v>3.83</v>
      </c>
    </row>
    <row r="251">
      <c r="Q251" t="inlineStr">
        <is>
          <t>Oviedo</t>
        </is>
      </c>
      <c r="R251" t="n">
        <v>4.9</v>
      </c>
    </row>
    <row r="252">
      <c r="Q252" t="inlineStr">
        <is>
          <t>Paddack</t>
        </is>
      </c>
      <c r="R252" t="n">
        <v>4.79</v>
      </c>
    </row>
    <row r="253">
      <c r="Q253" t="inlineStr">
        <is>
          <t>Pallante</t>
        </is>
      </c>
      <c r="R253" t="n">
        <v>4.16</v>
      </c>
    </row>
    <row r="254">
      <c r="Q254" t="inlineStr">
        <is>
          <t>Palmquist</t>
        </is>
      </c>
      <c r="R254" t="n">
        <v>6.37</v>
      </c>
    </row>
    <row r="255">
      <c r="Q255" t="inlineStr">
        <is>
          <t>Parker</t>
        </is>
      </c>
      <c r="R255" t="n">
        <v>5.09</v>
      </c>
    </row>
    <row r="256">
      <c r="Q256" t="inlineStr">
        <is>
          <t>Patrick</t>
        </is>
      </c>
      <c r="R256" t="n">
        <v>4.03</v>
      </c>
    </row>
    <row r="257">
      <c r="Q257" t="inlineStr">
        <is>
          <t>Peguero</t>
        </is>
      </c>
      <c r="R257" t="n">
        <v>0.46</v>
      </c>
    </row>
    <row r="258">
      <c r="Q258" t="inlineStr">
        <is>
          <t>Pepiot</t>
        </is>
      </c>
      <c r="R258" t="n">
        <v>4.07</v>
      </c>
    </row>
    <row r="259">
      <c r="Q259" t="inlineStr">
        <is>
          <t>Peralta</t>
        </is>
      </c>
      <c r="R259" t="n">
        <v>3.85</v>
      </c>
    </row>
    <row r="260">
      <c r="Q260" t="inlineStr">
        <is>
          <t>Peralta</t>
        </is>
      </c>
      <c r="R260" t="n">
        <v>2.45</v>
      </c>
    </row>
    <row r="261">
      <c r="Q261" t="inlineStr">
        <is>
          <t>Pérez</t>
        </is>
      </c>
      <c r="R261" t="n">
        <v>4.07</v>
      </c>
    </row>
    <row r="262">
      <c r="Q262" t="inlineStr">
        <is>
          <t>Pérez</t>
        </is>
      </c>
      <c r="R262" t="n">
        <v>5.01</v>
      </c>
    </row>
    <row r="263">
      <c r="Q263" t="inlineStr">
        <is>
          <t>Perkins</t>
        </is>
      </c>
      <c r="R263" t="n">
        <v>5.41</v>
      </c>
    </row>
    <row r="264">
      <c r="Q264" t="inlineStr">
        <is>
          <t>Peterson</t>
        </is>
      </c>
      <c r="R264" t="n">
        <v>3.72</v>
      </c>
    </row>
    <row r="265">
      <c r="Q265" t="inlineStr">
        <is>
          <t>Petty</t>
        </is>
      </c>
      <c r="R265" t="n">
        <v>7.03</v>
      </c>
    </row>
    <row r="266">
      <c r="Q266" t="inlineStr">
        <is>
          <t>Pfaadt</t>
        </is>
      </c>
      <c r="R266" t="n">
        <v>4.01</v>
      </c>
    </row>
    <row r="267">
      <c r="Q267" t="inlineStr">
        <is>
          <t>Phillips</t>
        </is>
      </c>
      <c r="R267" t="n">
        <v>3.74</v>
      </c>
    </row>
    <row r="268">
      <c r="Q268" t="inlineStr">
        <is>
          <t>Pivetta</t>
        </is>
      </c>
      <c r="R268" t="n">
        <v>3.85</v>
      </c>
    </row>
    <row r="269">
      <c r="Q269" t="inlineStr">
        <is>
          <t>Pomeranz</t>
        </is>
      </c>
      <c r="R269" t="n">
        <v>4.39</v>
      </c>
    </row>
    <row r="270">
      <c r="Q270" t="inlineStr">
        <is>
          <t>Povich</t>
        </is>
      </c>
      <c r="R270" t="n">
        <v>4.09</v>
      </c>
    </row>
    <row r="271">
      <c r="Q271" t="inlineStr">
        <is>
          <t>Priester</t>
        </is>
      </c>
      <c r="R271" t="n">
        <v>3.73</v>
      </c>
    </row>
    <row r="272">
      <c r="Q272" t="inlineStr">
        <is>
          <t>Quantrill</t>
        </is>
      </c>
      <c r="R272" t="n">
        <v>4.89</v>
      </c>
    </row>
    <row r="273">
      <c r="Q273" t="inlineStr">
        <is>
          <t>Quintana</t>
        </is>
      </c>
      <c r="R273" t="n">
        <v>4.92</v>
      </c>
    </row>
    <row r="274">
      <c r="Q274" t="inlineStr">
        <is>
          <t>Ragans</t>
        </is>
      </c>
      <c r="R274" t="n">
        <v>2.45</v>
      </c>
    </row>
    <row r="275">
      <c r="Q275" t="inlineStr">
        <is>
          <t>Rasmussen</t>
        </is>
      </c>
      <c r="R275" t="n">
        <v>3.72</v>
      </c>
    </row>
    <row r="276">
      <c r="Q276" t="inlineStr">
        <is>
          <t>Ray</t>
        </is>
      </c>
      <c r="R276" t="n">
        <v>4.29</v>
      </c>
    </row>
    <row r="277">
      <c r="Q277" t="inlineStr">
        <is>
          <t>Rea</t>
        </is>
      </c>
      <c r="R277" t="n">
        <v>4.31</v>
      </c>
    </row>
    <row r="278">
      <c r="Q278" t="inlineStr">
        <is>
          <t>Reynolds</t>
        </is>
      </c>
      <c r="R278" t="n">
        <v>4.09</v>
      </c>
    </row>
    <row r="279">
      <c r="Q279" t="inlineStr">
        <is>
          <t>Rocker</t>
        </is>
      </c>
      <c r="R279" t="n">
        <v>4.14</v>
      </c>
    </row>
    <row r="280">
      <c r="Q280" t="inlineStr">
        <is>
          <t>Rodón</t>
        </is>
      </c>
      <c r="R280" t="n">
        <v>3.89</v>
      </c>
    </row>
    <row r="281">
      <c r="Q281" t="inlineStr">
        <is>
          <t>E. Rodriguez</t>
        </is>
      </c>
      <c r="R281" t="n">
        <v>4.44</v>
      </c>
    </row>
    <row r="282">
      <c r="Q282" t="inlineStr">
        <is>
          <t>Rodríguez</t>
        </is>
      </c>
      <c r="R282" t="n">
        <v>7.31</v>
      </c>
    </row>
    <row r="283">
      <c r="Q283" t="inlineStr">
        <is>
          <t>Rodríguez</t>
        </is>
      </c>
      <c r="R283" t="n">
        <v>10.22</v>
      </c>
    </row>
    <row r="284">
      <c r="Q284" t="inlineStr">
        <is>
          <t>Rogers</t>
        </is>
      </c>
      <c r="R284" t="n">
        <v>3.64</v>
      </c>
    </row>
    <row r="285">
      <c r="Q285" t="inlineStr">
        <is>
          <t>Rolison</t>
        </is>
      </c>
      <c r="R285" t="n">
        <v>2.68</v>
      </c>
    </row>
    <row r="286">
      <c r="Q286" t="inlineStr">
        <is>
          <t>Ross</t>
        </is>
      </c>
      <c r="R286" t="n">
        <v>5.72</v>
      </c>
    </row>
    <row r="287">
      <c r="Q287" t="inlineStr">
        <is>
          <t>Roupp</t>
        </is>
      </c>
      <c r="R287" t="n">
        <v>4.1</v>
      </c>
    </row>
    <row r="288">
      <c r="Q288" t="inlineStr">
        <is>
          <t>Ryan</t>
        </is>
      </c>
      <c r="R288" t="n">
        <v>3.66</v>
      </c>
    </row>
    <row r="289">
      <c r="Q289" t="inlineStr">
        <is>
          <t>Sale</t>
        </is>
      </c>
      <c r="R289" t="n">
        <v>3.02</v>
      </c>
    </row>
    <row r="290">
      <c r="Q290" t="inlineStr">
        <is>
          <t>Sánchez</t>
        </is>
      </c>
      <c r="R290" t="n">
        <v>2.77</v>
      </c>
    </row>
    <row r="291">
      <c r="Q291" t="inlineStr">
        <is>
          <t>Sands</t>
        </is>
      </c>
      <c r="R291" t="n">
        <v>3.39</v>
      </c>
    </row>
    <row r="292">
      <c r="Q292" t="inlineStr">
        <is>
          <t>Sasaki</t>
        </is>
      </c>
      <c r="R292" t="n">
        <v>5.85</v>
      </c>
    </row>
    <row r="293">
      <c r="Q293" t="inlineStr">
        <is>
          <t>Sauer</t>
        </is>
      </c>
      <c r="R293" t="n">
        <v>5.56</v>
      </c>
    </row>
    <row r="294">
      <c r="Q294" t="inlineStr">
        <is>
          <t>Scherzer</t>
        </is>
      </c>
      <c r="R294" t="n">
        <v>4.55</v>
      </c>
    </row>
    <row r="295">
      <c r="Q295" t="inlineStr">
        <is>
          <t>Schlittler</t>
        </is>
      </c>
      <c r="R295" t="n">
        <v>3.77</v>
      </c>
    </row>
    <row r="296">
      <c r="Q296" t="inlineStr">
        <is>
          <t>Schmidt</t>
        </is>
      </c>
      <c r="R296" t="n">
        <v>4.44</v>
      </c>
    </row>
    <row r="297">
      <c r="Q297" t="inlineStr">
        <is>
          <t>Schultz</t>
        </is>
      </c>
      <c r="R297" t="n">
        <v>3.97</v>
      </c>
    </row>
    <row r="298">
      <c r="Q298" t="inlineStr">
        <is>
          <t>Schwellenbach</t>
        </is>
      </c>
      <c r="R298" t="n">
        <v>3.01</v>
      </c>
    </row>
    <row r="299">
      <c r="Q299" t="inlineStr">
        <is>
          <t>Sears</t>
        </is>
      </c>
      <c r="R299" t="n">
        <v>4.76</v>
      </c>
    </row>
    <row r="300">
      <c r="Q300" t="inlineStr">
        <is>
          <t>Senga</t>
        </is>
      </c>
      <c r="R300" t="n">
        <v>4.35</v>
      </c>
    </row>
    <row r="301">
      <c r="Q301" t="inlineStr">
        <is>
          <t>Senzatela</t>
        </is>
      </c>
      <c r="R301" t="n">
        <v>5.16</v>
      </c>
    </row>
    <row r="302">
      <c r="Q302" t="inlineStr">
        <is>
          <t>Severino</t>
        </is>
      </c>
      <c r="R302" t="n">
        <v>4.63</v>
      </c>
    </row>
    <row r="303">
      <c r="Q303" t="inlineStr">
        <is>
          <t>Seymour</t>
        </is>
      </c>
      <c r="R303" t="n">
        <v>5.34</v>
      </c>
    </row>
    <row r="304">
      <c r="Q304" t="inlineStr">
        <is>
          <t>Seymour</t>
        </is>
      </c>
      <c r="R304" t="n">
        <v>3.16</v>
      </c>
    </row>
    <row r="305">
      <c r="Q305" t="inlineStr">
        <is>
          <t>Sheehan</t>
        </is>
      </c>
      <c r="R305" t="n">
        <v>3.01</v>
      </c>
    </row>
    <row r="306">
      <c r="Q306" t="inlineStr">
        <is>
          <t>Shuster</t>
        </is>
      </c>
      <c r="R306" t="n">
        <v>6.68</v>
      </c>
    </row>
    <row r="307">
      <c r="Q307" t="inlineStr">
        <is>
          <t>Singer</t>
        </is>
      </c>
      <c r="R307" t="n">
        <v>4.25</v>
      </c>
    </row>
    <row r="308">
      <c r="Q308" t="inlineStr">
        <is>
          <t>Skenes</t>
        </is>
      </c>
      <c r="R308" t="n">
        <v>3.03</v>
      </c>
    </row>
    <row r="309">
      <c r="Q309" t="inlineStr">
        <is>
          <t>Skubal</t>
        </is>
      </c>
      <c r="R309" t="n">
        <v>2.66</v>
      </c>
    </row>
    <row r="310">
      <c r="Q310" t="inlineStr">
        <is>
          <t>Smith</t>
        </is>
      </c>
      <c r="R310" t="n">
        <v>4.23</v>
      </c>
    </row>
    <row r="311">
      <c r="Q311" t="inlineStr">
        <is>
          <t>Smith-Shawver</t>
        </is>
      </c>
      <c r="R311" t="n">
        <v>4.36</v>
      </c>
    </row>
    <row r="312">
      <c r="Q312" t="inlineStr">
        <is>
          <t>Snell</t>
        </is>
      </c>
      <c r="R312" t="n">
        <v>3.09</v>
      </c>
    </row>
    <row r="313">
      <c r="Q313" t="inlineStr">
        <is>
          <t>Soriano</t>
        </is>
      </c>
      <c r="R313" t="n">
        <v>3.54</v>
      </c>
    </row>
    <row r="314">
      <c r="Q314" t="inlineStr">
        <is>
          <t>Soroka</t>
        </is>
      </c>
      <c r="R314" t="n">
        <v>4.14</v>
      </c>
    </row>
    <row r="315">
      <c r="Q315" t="inlineStr">
        <is>
          <t>Spence</t>
        </is>
      </c>
      <c r="R315" t="n">
        <v>4.49</v>
      </c>
    </row>
    <row r="316">
      <c r="Q316" t="inlineStr">
        <is>
          <t>Spiers</t>
        </is>
      </c>
      <c r="R316" t="n">
        <v>4.36</v>
      </c>
    </row>
    <row r="317">
      <c r="Q317" t="inlineStr">
        <is>
          <t>Springs</t>
        </is>
      </c>
      <c r="R317" t="n">
        <v>4.78</v>
      </c>
    </row>
    <row r="318">
      <c r="Q318" t="inlineStr">
        <is>
          <t>Sproat</t>
        </is>
      </c>
      <c r="R318" t="n">
        <v>3.84</v>
      </c>
    </row>
    <row r="319">
      <c r="Q319" t="inlineStr">
        <is>
          <t>Steele</t>
        </is>
      </c>
      <c r="R319" t="n">
        <v>3.64</v>
      </c>
    </row>
    <row r="320">
      <c r="Q320" t="inlineStr">
        <is>
          <t>Sterner</t>
        </is>
      </c>
      <c r="R320" t="n">
        <v>4.22</v>
      </c>
    </row>
    <row r="321">
      <c r="Q321" t="inlineStr">
        <is>
          <t>Strider</t>
        </is>
      </c>
      <c r="R321" t="n">
        <v>4.24</v>
      </c>
    </row>
    <row r="322">
      <c r="Q322" t="inlineStr">
        <is>
          <t>Stroman</t>
        </is>
      </c>
      <c r="R322" t="n">
        <v>5</v>
      </c>
    </row>
    <row r="323">
      <c r="Q323" t="inlineStr">
        <is>
          <t>Suarez</t>
        </is>
      </c>
      <c r="R323" t="n">
        <v>2.52</v>
      </c>
    </row>
    <row r="324">
      <c r="Q324" t="inlineStr">
        <is>
          <t>Suarez</t>
        </is>
      </c>
      <c r="R324" t="n">
        <v>3.61</v>
      </c>
    </row>
    <row r="325">
      <c r="Q325" t="inlineStr">
        <is>
          <t>Suárez</t>
        </is>
      </c>
      <c r="R325" t="n">
        <v>2.86</v>
      </c>
    </row>
    <row r="326">
      <c r="Q326" t="inlineStr">
        <is>
          <t>Sugano</t>
        </is>
      </c>
      <c r="R326" t="n">
        <v>4.7</v>
      </c>
    </row>
    <row r="327">
      <c r="Q327" t="inlineStr">
        <is>
          <t>Suter</t>
        </is>
      </c>
      <c r="R327" t="n">
        <v>4.24</v>
      </c>
    </row>
    <row r="328">
      <c r="Q328" t="inlineStr">
        <is>
          <t>Taillon</t>
        </is>
      </c>
      <c r="R328" t="n">
        <v>4.34</v>
      </c>
    </row>
    <row r="329">
      <c r="Q329" t="inlineStr">
        <is>
          <t>Taylor</t>
        </is>
      </c>
      <c r="R329" t="n">
        <v>3.18</v>
      </c>
    </row>
    <row r="330">
      <c r="Q330" t="inlineStr">
        <is>
          <t>Teng</t>
        </is>
      </c>
      <c r="R330" t="n">
        <v>4.53</v>
      </c>
    </row>
    <row r="331">
      <c r="Q331" t="inlineStr">
        <is>
          <t>Tidwell</t>
        </is>
      </c>
      <c r="R331" t="n">
        <v>6.68</v>
      </c>
    </row>
    <row r="332">
      <c r="Q332" t="inlineStr">
        <is>
          <t>Tolle</t>
        </is>
      </c>
      <c r="R332" t="n">
        <v>4.64</v>
      </c>
    </row>
    <row r="333">
      <c r="Q333" t="inlineStr">
        <is>
          <t>Tong</t>
        </is>
      </c>
      <c r="R333" t="n">
        <v>3.96</v>
      </c>
    </row>
    <row r="334">
      <c r="Q334" t="inlineStr">
        <is>
          <t>Topa</t>
        </is>
      </c>
      <c r="R334" t="n">
        <v>4.22</v>
      </c>
    </row>
    <row r="335">
      <c r="Q335" t="inlineStr">
        <is>
          <t>Trivino</t>
        </is>
      </c>
      <c r="R335" t="n">
        <v>5.18</v>
      </c>
    </row>
    <row r="336">
      <c r="Q336" t="inlineStr">
        <is>
          <t>Turnbull</t>
        </is>
      </c>
      <c r="R336" t="n">
        <v>7.22</v>
      </c>
    </row>
    <row r="337">
      <c r="Q337" t="inlineStr">
        <is>
          <t>Ureña</t>
        </is>
      </c>
      <c r="R337" t="n">
        <v>6.63</v>
      </c>
    </row>
    <row r="338">
      <c r="Q338" t="inlineStr">
        <is>
          <t>Valdez</t>
        </is>
      </c>
      <c r="R338" t="n">
        <v>3.34</v>
      </c>
    </row>
    <row r="339">
      <c r="Q339" t="inlineStr">
        <is>
          <t>Varland</t>
        </is>
      </c>
      <c r="R339" t="n">
        <v>2.45</v>
      </c>
    </row>
    <row r="340">
      <c r="Q340" t="inlineStr">
        <is>
          <t>Vasil</t>
        </is>
      </c>
      <c r="R340" t="n">
        <v>4.72</v>
      </c>
    </row>
    <row r="341">
      <c r="Q341" t="inlineStr">
        <is>
          <t>R. Vasquez</t>
        </is>
      </c>
      <c r="R341" t="n">
        <v>5.62</v>
      </c>
    </row>
    <row r="342">
      <c r="Q342" t="inlineStr">
        <is>
          <t>Veneziano</t>
        </is>
      </c>
      <c r="R342" t="n">
        <v>1.91</v>
      </c>
    </row>
    <row r="343">
      <c r="Q343" t="inlineStr">
        <is>
          <t>Verlander</t>
        </is>
      </c>
      <c r="R343" t="n">
        <v>4.57</v>
      </c>
    </row>
    <row r="344">
      <c r="Q344" t="inlineStr">
        <is>
          <t>Wacha</t>
        </is>
      </c>
      <c r="R344" t="n">
        <v>4.56</v>
      </c>
    </row>
    <row r="345">
      <c r="Q345" t="inlineStr">
        <is>
          <t>Waddell</t>
        </is>
      </c>
      <c r="R345" t="n">
        <v>5.37</v>
      </c>
    </row>
    <row r="346">
      <c r="Q346" t="inlineStr">
        <is>
          <t>Waldrep</t>
        </is>
      </c>
      <c r="R346" t="n">
        <v>3.55</v>
      </c>
    </row>
    <row r="347">
      <c r="Q347" t="inlineStr">
        <is>
          <t>Waldron</t>
        </is>
      </c>
      <c r="R347" t="n">
        <v>7.03</v>
      </c>
    </row>
    <row r="348">
      <c r="Q348" t="inlineStr">
        <is>
          <t>Walker</t>
        </is>
      </c>
      <c r="R348" t="n">
        <v>4.81</v>
      </c>
    </row>
    <row r="349">
      <c r="Q349" t="inlineStr">
        <is>
          <t>Walter</t>
        </is>
      </c>
      <c r="R349" t="n">
        <v>3.14</v>
      </c>
    </row>
    <row r="350">
      <c r="Q350" t="inlineStr">
        <is>
          <t>Warren</t>
        </is>
      </c>
      <c r="R350" t="n">
        <v>3.91</v>
      </c>
    </row>
    <row r="351">
      <c r="Q351" t="inlineStr">
        <is>
          <t>Weathers</t>
        </is>
      </c>
      <c r="R351" t="n">
        <v>4.03</v>
      </c>
    </row>
    <row r="352">
      <c r="Q352" t="inlineStr">
        <is>
          <t>Webb</t>
        </is>
      </c>
      <c r="R352" t="n">
        <v>2.78</v>
      </c>
    </row>
    <row r="353">
      <c r="Q353" t="inlineStr">
        <is>
          <t>Wells</t>
        </is>
      </c>
      <c r="R353" t="n">
        <v>4.17</v>
      </c>
    </row>
    <row r="354">
      <c r="Q354" t="inlineStr">
        <is>
          <t>Wentz</t>
        </is>
      </c>
      <c r="R354" t="n">
        <v>4.14</v>
      </c>
    </row>
    <row r="355">
      <c r="Q355" t="inlineStr">
        <is>
          <t>Wesneski</t>
        </is>
      </c>
      <c r="R355" t="n">
        <v>3.81</v>
      </c>
    </row>
    <row r="356">
      <c r="Q356" t="inlineStr">
        <is>
          <t>Wheeler</t>
        </is>
      </c>
      <c r="R356" t="n">
        <v>2.73</v>
      </c>
    </row>
    <row r="357">
      <c r="Q357" t="inlineStr">
        <is>
          <t>Whisenhunt</t>
        </is>
      </c>
      <c r="R357" t="n">
        <v>5.48</v>
      </c>
    </row>
    <row r="358">
      <c r="Q358" t="inlineStr">
        <is>
          <t>Williams</t>
        </is>
      </c>
      <c r="R358" t="n">
        <v>4.08</v>
      </c>
    </row>
    <row r="359">
      <c r="Q359" t="inlineStr">
        <is>
          <t>Williams</t>
        </is>
      </c>
      <c r="R359" t="n">
        <v>4.56</v>
      </c>
    </row>
    <row r="360">
      <c r="Q360" t="inlineStr">
        <is>
          <t>Wilson</t>
        </is>
      </c>
      <c r="R360" t="n">
        <v>5.71</v>
      </c>
    </row>
    <row r="361">
      <c r="Q361" t="inlineStr">
        <is>
          <t>Winans</t>
        </is>
      </c>
      <c r="R361" t="n">
        <v>6.55</v>
      </c>
    </row>
    <row r="362">
      <c r="Q362" t="inlineStr">
        <is>
          <t>Woo</t>
        </is>
      </c>
      <c r="R362" t="n">
        <v>3.33</v>
      </c>
    </row>
    <row r="363">
      <c r="Q363" t="inlineStr">
        <is>
          <t>Woodruff</t>
        </is>
      </c>
      <c r="R363" t="n">
        <v>3.24</v>
      </c>
    </row>
    <row r="364">
      <c r="Q364" t="inlineStr">
        <is>
          <t>Woods-R</t>
        </is>
      </c>
      <c r="R364" t="n">
        <v>4.66</v>
      </c>
    </row>
    <row r="365">
      <c r="Q365" t="inlineStr">
        <is>
          <t>Wrobleski</t>
        </is>
      </c>
      <c r="R365" t="n">
        <v>5.24</v>
      </c>
    </row>
    <row r="366">
      <c r="Q366" t="inlineStr">
        <is>
          <t>Yamamoto</t>
        </is>
      </c>
      <c r="R366" t="n">
        <v>3.05</v>
      </c>
    </row>
    <row r="367">
      <c r="Q367" t="inlineStr">
        <is>
          <t>Yarbrough</t>
        </is>
      </c>
      <c r="R367" t="n">
        <v>4.39</v>
      </c>
    </row>
    <row r="368">
      <c r="Q368" t="inlineStr">
        <is>
          <t>Yesavage</t>
        </is>
      </c>
      <c r="R368" t="n">
        <v>3.23</v>
      </c>
    </row>
    <row r="369">
      <c r="Q369" t="inlineStr">
        <is>
          <t>Young</t>
        </is>
      </c>
      <c r="R369" t="n">
        <v>4.52</v>
      </c>
    </row>
    <row r="370">
      <c r="Q370" t="inlineStr">
        <is>
          <t>Zastryzny</t>
        </is>
      </c>
      <c r="R370" t="n">
        <v>-0.86</v>
      </c>
    </row>
    <row r="371">
      <c r="Q371" t="inlineStr">
        <is>
          <t>Zeferjahn</t>
        </is>
      </c>
      <c r="R371" t="n">
        <v>0.68</v>
      </c>
    </row>
    <row r="372">
      <c r="Q372" t="inlineStr">
        <is>
          <t>Zerpa</t>
        </is>
      </c>
      <c r="R372" t="n">
        <v>2.91</v>
      </c>
    </row>
    <row r="373">
      <c r="Q373" t="inlineStr">
        <is>
          <t>Zimmermann</t>
        </is>
      </c>
      <c r="R373" t="n">
        <v>6.11</v>
      </c>
    </row>
  </sheetData>
  <mergeCells count="4">
    <mergeCell ref="Q2:R2"/>
    <mergeCell ref="F2:H2"/>
    <mergeCell ref="B2:D2"/>
    <mergeCell ref="N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2026-04-10T13:34:06Z</dcterms:created>
  <dcterms:modified xmlns:dcterms="http://purl.org/dc/terms/" xmlns:xsi="http://www.w3.org/2001/XMLSchema-instance" xsi:type="dcterms:W3CDTF">2026-05-10T16:11:32Z</dcterms:modified>
  <cp:lastModifiedBy>Abraham Laboy</cp:lastModifiedBy>
</cp:coreProperties>
</file>